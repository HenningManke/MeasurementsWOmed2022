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100kV/silber/hinten/"/>
    </mc:Choice>
  </mc:AlternateContent>
  <xr:revisionPtr revIDLastSave="0" documentId="13_ncr:1_{AA01F057-59EA-4545-8A26-3446FCB66FA8}" xr6:coauthVersionLast="47" xr6:coauthVersionMax="47" xr10:uidLastSave="{00000000-0000-0000-0000-000000000000}"/>
  <bookViews>
    <workbookView xWindow="0" yWindow="500" windowWidth="29160" windowHeight="22240" activeTab="2" xr2:uid="{B0E11E21-0F3D-8547-AB51-6C169E1D959C}"/>
  </bookViews>
  <sheets>
    <sheet name="Grunddaten" sheetId="1" r:id="rId1"/>
    <sheet name="Grundabstand" sheetId="2" r:id="rId2"/>
    <sheet name="Messwerte" sheetId="3" r:id="rId3"/>
    <sheet name="Messwerte_Diagramm" sheetId="7" r:id="rId4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 a="1"/>
  <c r="D2" i="3" s="1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 s="1"/>
  <c r="D14" i="3" a="1"/>
  <c r="D14" i="3" s="1"/>
  <c r="D15" i="3" a="1"/>
  <c r="D1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5" i="3" a="1"/>
  <c r="D25" i="3" s="1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42" i="3" a="1"/>
  <c r="D42" i="3" s="1"/>
  <c r="D43" i="3" a="1"/>
  <c r="D43" i="3" s="1"/>
  <c r="D44" i="3" a="1"/>
  <c r="D44" i="3" s="1"/>
  <c r="D45" i="3" a="1"/>
  <c r="D45" i="3" s="1"/>
  <c r="D46" i="3" a="1"/>
  <c r="D46" i="3" s="1"/>
  <c r="D47" i="3" a="1"/>
  <c r="D47" i="3" s="1"/>
  <c r="D48" i="3" a="1"/>
  <c r="D48" i="3" s="1"/>
  <c r="D49" i="3" a="1"/>
  <c r="D49" i="3" s="1"/>
  <c r="D50" i="3" a="1"/>
  <c r="D50" i="3" s="1"/>
  <c r="D51" i="3" a="1"/>
  <c r="D51" i="3" s="1"/>
  <c r="D52" i="3" a="1"/>
  <c r="D52" i="3" s="1"/>
  <c r="D53" i="3" a="1"/>
  <c r="D53" i="3" s="1"/>
  <c r="D54" i="3" a="1"/>
  <c r="D54" i="3" s="1"/>
  <c r="D55" i="3" a="1"/>
  <c r="D55" i="3" s="1"/>
  <c r="D56" i="3" a="1"/>
  <c r="D56" i="3" s="1"/>
  <c r="D57" i="3" a="1"/>
  <c r="D57" i="3" s="1"/>
  <c r="B24" i="1"/>
  <c r="B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<sst xmlns="http://schemas.openxmlformats.org/spreadsheetml/2006/main" count="106" uniqueCount="38">
  <si>
    <t>Datum</t>
  </si>
  <si>
    <t>Detektor</t>
  </si>
  <si>
    <t>Strahlungsquelle</t>
  </si>
  <si>
    <t>Halterung</t>
  </si>
  <si>
    <t>Szintillationsdetektor</t>
  </si>
  <si>
    <t>Messzeit / s</t>
  </si>
  <si>
    <t>Einzelmessungen</t>
  </si>
  <si>
    <t>Einstellungen Detektor</t>
  </si>
  <si>
    <t>Orientierung</t>
  </si>
  <si>
    <t>Messpunkt</t>
  </si>
  <si>
    <t>Abstand / mm</t>
  </si>
  <si>
    <t>SVERWEIS Tabelle für Grundabstand</t>
  </si>
  <si>
    <t>Strom / nA</t>
  </si>
  <si>
    <t>Grundabstand</t>
  </si>
  <si>
    <t>Unsicherheiten</t>
  </si>
  <si>
    <t>systematische Unsicherheit / %</t>
  </si>
  <si>
    <t>Unsicherheit / nA</t>
  </si>
  <si>
    <t>K</t>
  </si>
  <si>
    <t>L</t>
  </si>
  <si>
    <t>Feldgröße - Applikatordurchmesser / mm</t>
  </si>
  <si>
    <t>Der Grundabstand ist die Summe des Bohrradius (2,75 mm) und des Abstands zwischen dem 1. Loch und der Außenkante</t>
  </si>
  <si>
    <t>Grenzfehler / %</t>
  </si>
  <si>
    <t>d2 / 15</t>
  </si>
  <si>
    <t>Temperatur / °C</t>
  </si>
  <si>
    <t>Luftdruck</t>
  </si>
  <si>
    <t>Strom / mA</t>
  </si>
  <si>
    <t>Spannung_PM / V</t>
  </si>
  <si>
    <t>Dunkelstrom / nA</t>
  </si>
  <si>
    <t>Dunkelstrom_Fehler / nA</t>
  </si>
  <si>
    <t>Röhrennummer</t>
  </si>
  <si>
    <t>Strahlspannung</t>
  </si>
  <si>
    <t>Filtermaterial</t>
  </si>
  <si>
    <t>Filterdicke</t>
  </si>
  <si>
    <t>Einstrahlrichtung</t>
  </si>
  <si>
    <t>hinten</t>
  </si>
  <si>
    <t>CCB</t>
  </si>
  <si>
    <t>ID</t>
  </si>
  <si>
    <t>silber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</si>
</sst>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8">
    <dxf>
      <numFmt numFmtId="164" formatCode="0.0"/>
    </dxf>
    <dxf>
      <numFmt numFmtId="2" formatCode="0.00"/>
    </dxf>
    <dxf>
      <numFmt numFmtId="2" formatCode="0.0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Strom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Messwerte!$F$2:$F$57</c:f>
                <c:numCache>
                  <c:formatCode>General</c:formatCode>
                  <c:ptCount val="56"/>
                  <c:pt idx="0">
                    <c:v>7.9100000000000004E-2</c:v>
                  </c:pt>
                  <c:pt idx="1">
                    <c:v>9.2200000000000004E-2</c:v>
                  </c:pt>
                  <c:pt idx="2">
                    <c:v>9.8199999999999996E-2</c:v>
                  </c:pt>
                  <c:pt idx="3">
                    <c:v>9.1200000000000003E-2</c:v>
                  </c:pt>
                  <c:pt idx="4">
                    <c:v>0.1</c:v>
                  </c:pt>
                  <c:pt idx="5">
                    <c:v>0.107</c:v>
                  </c:pt>
                  <c:pt idx="6">
                    <c:v>9.9599999999999994E-2</c:v>
                  </c:pt>
                  <c:pt idx="7">
                    <c:v>0.108</c:v>
                  </c:pt>
                  <c:pt idx="8">
                    <c:v>0.12</c:v>
                  </c:pt>
                  <c:pt idx="9">
                    <c:v>0.115</c:v>
                  </c:pt>
                  <c:pt idx="10">
                    <c:v>8.3400000000000002E-2</c:v>
                  </c:pt>
                  <c:pt idx="11">
                    <c:v>0.10199999999999999</c:v>
                  </c:pt>
                  <c:pt idx="12">
                    <c:v>0.10299999999999999</c:v>
                  </c:pt>
                  <c:pt idx="13">
                    <c:v>0.109</c:v>
                  </c:pt>
                  <c:pt idx="14">
                    <c:v>0.12</c:v>
                  </c:pt>
                  <c:pt idx="15">
                    <c:v>7.5899999999999995E-2</c:v>
                  </c:pt>
                  <c:pt idx="16">
                    <c:v>0.106</c:v>
                  </c:pt>
                  <c:pt idx="17">
                    <c:v>9.4899999999999998E-2</c:v>
                  </c:pt>
                  <c:pt idx="18">
                    <c:v>0.10100000000000001</c:v>
                  </c:pt>
                  <c:pt idx="19">
                    <c:v>0.115</c:v>
                  </c:pt>
                  <c:pt idx="20">
                    <c:v>8.5800000000000001E-2</c:v>
                  </c:pt>
                  <c:pt idx="21">
                    <c:v>9.0700000000000003E-2</c:v>
                  </c:pt>
                  <c:pt idx="22">
                    <c:v>0.109</c:v>
                  </c:pt>
                  <c:pt idx="23">
                    <c:v>0.126</c:v>
                  </c:pt>
                  <c:pt idx="24">
                    <c:v>0.112</c:v>
                  </c:pt>
                  <c:pt idx="25">
                    <c:v>8.9599999999999999E-2</c:v>
                  </c:pt>
                  <c:pt idx="26">
                    <c:v>0.10100000000000001</c:v>
                  </c:pt>
                  <c:pt idx="27">
                    <c:v>0.10299999999999999</c:v>
                  </c:pt>
                  <c:pt idx="28">
                    <c:v>0.121</c:v>
                  </c:pt>
                  <c:pt idx="29">
                    <c:v>0.124</c:v>
                  </c:pt>
                  <c:pt idx="30">
                    <c:v>7.9799999999999996E-2</c:v>
                  </c:pt>
                  <c:pt idx="31">
                    <c:v>9.2200000000000004E-2</c:v>
                  </c:pt>
                  <c:pt idx="32">
                    <c:v>9.2899999999999996E-2</c:v>
                  </c:pt>
                  <c:pt idx="33">
                    <c:v>0.126</c:v>
                  </c:pt>
                  <c:pt idx="34">
                    <c:v>0.126</c:v>
                  </c:pt>
                  <c:pt idx="35">
                    <c:v>8.8700000000000001E-2</c:v>
                  </c:pt>
                  <c:pt idx="36">
                    <c:v>0.106</c:v>
                  </c:pt>
                  <c:pt idx="37">
                    <c:v>0.11</c:v>
                  </c:pt>
                  <c:pt idx="38">
                    <c:v>0.11700000000000001</c:v>
                  </c:pt>
                  <c:pt idx="39">
                    <c:v>0.129</c:v>
                  </c:pt>
                  <c:pt idx="40">
                    <c:v>0.09</c:v>
                  </c:pt>
                  <c:pt idx="41">
                    <c:v>0.11</c:v>
                  </c:pt>
                  <c:pt idx="42">
                    <c:v>0.109</c:v>
                  </c:pt>
                  <c:pt idx="43">
                    <c:v>0.107</c:v>
                  </c:pt>
                  <c:pt idx="44">
                    <c:v>9.4700000000000006E-2</c:v>
                  </c:pt>
                  <c:pt idx="45">
                    <c:v>0.1</c:v>
                  </c:pt>
                  <c:pt idx="46">
                    <c:v>9.5000000000000001E-2</c:v>
                  </c:pt>
                  <c:pt idx="47">
                    <c:v>0.125</c:v>
                  </c:pt>
                  <c:pt idx="48">
                    <c:v>0.104</c:v>
                  </c:pt>
                  <c:pt idx="49">
                    <c:v>0.10199999999999999</c:v>
                  </c:pt>
                  <c:pt idx="50">
                    <c:v>9.9500000000000005E-2</c:v>
                  </c:pt>
                  <c:pt idx="51">
                    <c:v>0.105</c:v>
                  </c:pt>
                  <c:pt idx="52">
                    <c:v>0.08</c:v>
                  </c:pt>
                  <c:pt idx="53">
                    <c:v>0.104</c:v>
                  </c:pt>
                  <c:pt idx="54">
                    <c:v>0.114</c:v>
                  </c:pt>
                  <c:pt idx="55">
                    <c:v>0.114</c:v>
                  </c:pt>
                </c:numCache>
              </c:numRef>
            </c:plus>
            <c:minus>
              <c:numRef>
                <c:f>Messwerte!$F$2:$F$57</c:f>
                <c:numCache>
                  <c:formatCode>General</c:formatCode>
                  <c:ptCount val="56"/>
                  <c:pt idx="0">
                    <c:v>7.9100000000000004E-2</c:v>
                  </c:pt>
                  <c:pt idx="1">
                    <c:v>9.2200000000000004E-2</c:v>
                  </c:pt>
                  <c:pt idx="2">
                    <c:v>9.8199999999999996E-2</c:v>
                  </c:pt>
                  <c:pt idx="3">
                    <c:v>9.1200000000000003E-2</c:v>
                  </c:pt>
                  <c:pt idx="4">
                    <c:v>0.1</c:v>
                  </c:pt>
                  <c:pt idx="5">
                    <c:v>0.107</c:v>
                  </c:pt>
                  <c:pt idx="6">
                    <c:v>9.9599999999999994E-2</c:v>
                  </c:pt>
                  <c:pt idx="7">
                    <c:v>0.108</c:v>
                  </c:pt>
                  <c:pt idx="8">
                    <c:v>0.12</c:v>
                  </c:pt>
                  <c:pt idx="9">
                    <c:v>0.115</c:v>
                  </c:pt>
                  <c:pt idx="10">
                    <c:v>8.3400000000000002E-2</c:v>
                  </c:pt>
                  <c:pt idx="11">
                    <c:v>0.10199999999999999</c:v>
                  </c:pt>
                  <c:pt idx="12">
                    <c:v>0.10299999999999999</c:v>
                  </c:pt>
                  <c:pt idx="13">
                    <c:v>0.109</c:v>
                  </c:pt>
                  <c:pt idx="14">
                    <c:v>0.12</c:v>
                  </c:pt>
                  <c:pt idx="15">
                    <c:v>7.5899999999999995E-2</c:v>
                  </c:pt>
                  <c:pt idx="16">
                    <c:v>0.106</c:v>
                  </c:pt>
                  <c:pt idx="17">
                    <c:v>9.4899999999999998E-2</c:v>
                  </c:pt>
                  <c:pt idx="18">
                    <c:v>0.10100000000000001</c:v>
                  </c:pt>
                  <c:pt idx="19">
                    <c:v>0.115</c:v>
                  </c:pt>
                  <c:pt idx="20">
                    <c:v>8.5800000000000001E-2</c:v>
                  </c:pt>
                  <c:pt idx="21">
                    <c:v>9.0700000000000003E-2</c:v>
                  </c:pt>
                  <c:pt idx="22">
                    <c:v>0.109</c:v>
                  </c:pt>
                  <c:pt idx="23">
                    <c:v>0.126</c:v>
                  </c:pt>
                  <c:pt idx="24">
                    <c:v>0.112</c:v>
                  </c:pt>
                  <c:pt idx="25">
                    <c:v>8.9599999999999999E-2</c:v>
                  </c:pt>
                  <c:pt idx="26">
                    <c:v>0.10100000000000001</c:v>
                  </c:pt>
                  <c:pt idx="27">
                    <c:v>0.10299999999999999</c:v>
                  </c:pt>
                  <c:pt idx="28">
                    <c:v>0.121</c:v>
                  </c:pt>
                  <c:pt idx="29">
                    <c:v>0.124</c:v>
                  </c:pt>
                  <c:pt idx="30">
                    <c:v>7.9799999999999996E-2</c:v>
                  </c:pt>
                  <c:pt idx="31">
                    <c:v>9.2200000000000004E-2</c:v>
                  </c:pt>
                  <c:pt idx="32">
                    <c:v>9.2899999999999996E-2</c:v>
                  </c:pt>
                  <c:pt idx="33">
                    <c:v>0.126</c:v>
                  </c:pt>
                  <c:pt idx="34">
                    <c:v>0.126</c:v>
                  </c:pt>
                  <c:pt idx="35">
                    <c:v>8.8700000000000001E-2</c:v>
                  </c:pt>
                  <c:pt idx="36">
                    <c:v>0.106</c:v>
                  </c:pt>
                  <c:pt idx="37">
                    <c:v>0.11</c:v>
                  </c:pt>
                  <c:pt idx="38">
                    <c:v>0.11700000000000001</c:v>
                  </c:pt>
                  <c:pt idx="39">
                    <c:v>0.129</c:v>
                  </c:pt>
                  <c:pt idx="40">
                    <c:v>0.09</c:v>
                  </c:pt>
                  <c:pt idx="41">
                    <c:v>0.11</c:v>
                  </c:pt>
                  <c:pt idx="42">
                    <c:v>0.109</c:v>
                  </c:pt>
                  <c:pt idx="43">
                    <c:v>0.107</c:v>
                  </c:pt>
                  <c:pt idx="44">
                    <c:v>9.4700000000000006E-2</c:v>
                  </c:pt>
                  <c:pt idx="45">
                    <c:v>0.1</c:v>
                  </c:pt>
                  <c:pt idx="46">
                    <c:v>9.5000000000000001E-2</c:v>
                  </c:pt>
                  <c:pt idx="47">
                    <c:v>0.125</c:v>
                  </c:pt>
                  <c:pt idx="48">
                    <c:v>0.104</c:v>
                  </c:pt>
                  <c:pt idx="49">
                    <c:v>0.10199999999999999</c:v>
                  </c:pt>
                  <c:pt idx="50">
                    <c:v>9.9500000000000005E-2</c:v>
                  </c:pt>
                  <c:pt idx="51">
                    <c:v>0.105</c:v>
                  </c:pt>
                  <c:pt idx="52">
                    <c:v>0.08</c:v>
                  </c:pt>
                  <c:pt idx="53">
                    <c:v>0.104</c:v>
                  </c:pt>
                  <c:pt idx="54">
                    <c:v>0.114</c:v>
                  </c:pt>
                  <c:pt idx="55">
                    <c:v>0.114</c:v>
                  </c:pt>
                </c:numCache>
              </c:numRef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Messwerte!$D$2:$D$57</c:f>
              <c:numCache>
                <c:formatCode>0.0</c:formatCode>
                <c:ptCount val="56"/>
                <c:pt idx="0">
                  <c:v>32</c:v>
                </c:pt>
                <c:pt idx="1">
                  <c:v>26</c:v>
                </c:pt>
                <c:pt idx="2">
                  <c:v>20</c:v>
                </c:pt>
                <c:pt idx="3">
                  <c:v>14</c:v>
                </c:pt>
                <c:pt idx="4">
                  <c:v>8</c:v>
                </c:pt>
                <c:pt idx="5">
                  <c:v>28.5</c:v>
                </c:pt>
                <c:pt idx="6">
                  <c:v>22.5</c:v>
                </c:pt>
                <c:pt idx="7">
                  <c:v>16.5</c:v>
                </c:pt>
                <c:pt idx="8">
                  <c:v>10.5</c:v>
                </c:pt>
                <c:pt idx="9">
                  <c:v>4.5</c:v>
                </c:pt>
                <c:pt idx="10">
                  <c:v>31.5</c:v>
                </c:pt>
                <c:pt idx="11">
                  <c:v>25.5</c:v>
                </c:pt>
                <c:pt idx="12">
                  <c:v>19.5</c:v>
                </c:pt>
                <c:pt idx="13">
                  <c:v>13.5</c:v>
                </c:pt>
                <c:pt idx="14">
                  <c:v>7.5</c:v>
                </c:pt>
                <c:pt idx="15">
                  <c:v>29</c:v>
                </c:pt>
                <c:pt idx="16">
                  <c:v>23</c:v>
                </c:pt>
                <c:pt idx="17">
                  <c:v>17</c:v>
                </c:pt>
                <c:pt idx="18">
                  <c:v>11</c:v>
                </c:pt>
                <c:pt idx="19">
                  <c:v>5</c:v>
                </c:pt>
                <c:pt idx="20">
                  <c:v>31</c:v>
                </c:pt>
                <c:pt idx="21">
                  <c:v>25</c:v>
                </c:pt>
                <c:pt idx="22">
                  <c:v>19</c:v>
                </c:pt>
                <c:pt idx="23">
                  <c:v>13</c:v>
                </c:pt>
                <c:pt idx="24">
                  <c:v>7</c:v>
                </c:pt>
                <c:pt idx="25">
                  <c:v>29.5</c:v>
                </c:pt>
                <c:pt idx="26">
                  <c:v>23.5</c:v>
                </c:pt>
                <c:pt idx="27">
                  <c:v>17.5</c:v>
                </c:pt>
                <c:pt idx="28">
                  <c:v>11.5</c:v>
                </c:pt>
                <c:pt idx="29">
                  <c:v>5.5</c:v>
                </c:pt>
                <c:pt idx="30">
                  <c:v>30.5</c:v>
                </c:pt>
                <c:pt idx="31">
                  <c:v>24.5</c:v>
                </c:pt>
                <c:pt idx="32">
                  <c:v>18.5</c:v>
                </c:pt>
                <c:pt idx="33">
                  <c:v>12.5</c:v>
                </c:pt>
                <c:pt idx="34">
                  <c:v>6.5</c:v>
                </c:pt>
                <c:pt idx="35">
                  <c:v>30</c:v>
                </c:pt>
                <c:pt idx="36">
                  <c:v>24</c:v>
                </c:pt>
                <c:pt idx="37">
                  <c:v>18</c:v>
                </c:pt>
                <c:pt idx="38">
                  <c:v>12</c:v>
                </c:pt>
                <c:pt idx="39">
                  <c:v>6</c:v>
                </c:pt>
                <c:pt idx="40">
                  <c:v>27.5</c:v>
                </c:pt>
                <c:pt idx="41">
                  <c:v>21.5</c:v>
                </c:pt>
                <c:pt idx="42">
                  <c:v>15.5</c:v>
                </c:pt>
                <c:pt idx="43">
                  <c:v>9.5</c:v>
                </c:pt>
                <c:pt idx="44">
                  <c:v>27</c:v>
                </c:pt>
                <c:pt idx="45">
                  <c:v>21</c:v>
                </c:pt>
                <c:pt idx="46">
                  <c:v>15</c:v>
                </c:pt>
                <c:pt idx="47">
                  <c:v>9</c:v>
                </c:pt>
                <c:pt idx="48">
                  <c:v>28</c:v>
                </c:pt>
                <c:pt idx="49">
                  <c:v>22</c:v>
                </c:pt>
                <c:pt idx="50">
                  <c:v>16</c:v>
                </c:pt>
                <c:pt idx="51">
                  <c:v>10</c:v>
                </c:pt>
                <c:pt idx="52">
                  <c:v>26.5</c:v>
                </c:pt>
                <c:pt idx="53">
                  <c:v>20.5</c:v>
                </c:pt>
                <c:pt idx="54">
                  <c:v>14.5</c:v>
                </c:pt>
                <c:pt idx="55">
                  <c:v>8.5</c:v>
                </c:pt>
              </c:numCache>
            </c:numRef>
          </c:xVal>
          <c:yVal>
            <c:numRef>
              <c:f>Messwerte!$E$2:$E$57</c:f>
              <c:numCache>
                <c:formatCode>0.00</c:formatCode>
                <c:ptCount val="56"/>
                <c:pt idx="0">
                  <c:v>188.106424</c:v>
                </c:pt>
                <c:pt idx="1">
                  <c:v>204.25112200000001</c:v>
                </c:pt>
                <c:pt idx="2">
                  <c:v>240.250079</c:v>
                </c:pt>
                <c:pt idx="3">
                  <c:v>280.15290700000003</c:v>
                </c:pt>
                <c:pt idx="4">
                  <c:v>324.45473700000002</c:v>
                </c:pt>
                <c:pt idx="5">
                  <c:v>199.17757499999999</c:v>
                </c:pt>
                <c:pt idx="6">
                  <c:v>231.560563</c:v>
                </c:pt>
                <c:pt idx="7">
                  <c:v>270.22521499999999</c:v>
                </c:pt>
                <c:pt idx="8">
                  <c:v>304.73780900000003</c:v>
                </c:pt>
                <c:pt idx="9">
                  <c:v>351.86660799999999</c:v>
                </c:pt>
                <c:pt idx="10">
                  <c:v>185.17055500000001</c:v>
                </c:pt>
                <c:pt idx="11">
                  <c:v>208.590172</c:v>
                </c:pt>
                <c:pt idx="12">
                  <c:v>242.73607999999999</c:v>
                </c:pt>
                <c:pt idx="13">
                  <c:v>283.57647300000002</c:v>
                </c:pt>
                <c:pt idx="14">
                  <c:v>328.11660799999999</c:v>
                </c:pt>
                <c:pt idx="15">
                  <c:v>193.76693700000001</c:v>
                </c:pt>
                <c:pt idx="16">
                  <c:v>223.292551</c:v>
                </c:pt>
                <c:pt idx="17">
                  <c:v>260.64937200000003</c:v>
                </c:pt>
                <c:pt idx="18">
                  <c:v>303.11050599999999</c:v>
                </c:pt>
                <c:pt idx="19">
                  <c:v>348.114576</c:v>
                </c:pt>
                <c:pt idx="20">
                  <c:v>185.930182</c:v>
                </c:pt>
                <c:pt idx="21">
                  <c:v>210.91412099999999</c:v>
                </c:pt>
                <c:pt idx="22">
                  <c:v>245.52979300000001</c:v>
                </c:pt>
                <c:pt idx="23">
                  <c:v>285.93059099999999</c:v>
                </c:pt>
                <c:pt idx="24">
                  <c:v>332.24035600000002</c:v>
                </c:pt>
                <c:pt idx="25">
                  <c:v>190.58553900000001</c:v>
                </c:pt>
                <c:pt idx="26">
                  <c:v>218.50426200000001</c:v>
                </c:pt>
                <c:pt idx="27">
                  <c:v>256.99196799999999</c:v>
                </c:pt>
                <c:pt idx="28">
                  <c:v>299.31929500000001</c:v>
                </c:pt>
                <c:pt idx="29">
                  <c:v>343.86576600000001</c:v>
                </c:pt>
                <c:pt idx="30">
                  <c:v>188.768011</c:v>
                </c:pt>
                <c:pt idx="31">
                  <c:v>214.75101699999999</c:v>
                </c:pt>
                <c:pt idx="32">
                  <c:v>249.58507399999999</c:v>
                </c:pt>
                <c:pt idx="33">
                  <c:v>290.67749199999997</c:v>
                </c:pt>
                <c:pt idx="34">
                  <c:v>335.41274800000002</c:v>
                </c:pt>
                <c:pt idx="35">
                  <c:v>188.98357100000001</c:v>
                </c:pt>
                <c:pt idx="36">
                  <c:v>216.271096</c:v>
                </c:pt>
                <c:pt idx="37">
                  <c:v>252.915243</c:v>
                </c:pt>
                <c:pt idx="38">
                  <c:v>294.53224499999999</c:v>
                </c:pt>
                <c:pt idx="39">
                  <c:v>340.06554499999999</c:v>
                </c:pt>
                <c:pt idx="40">
                  <c:v>198.39212900000001</c:v>
                </c:pt>
                <c:pt idx="41">
                  <c:v>229.84652700000001</c:v>
                </c:pt>
                <c:pt idx="42">
                  <c:v>267.991422</c:v>
                </c:pt>
                <c:pt idx="43">
                  <c:v>311.776049</c:v>
                </c:pt>
                <c:pt idx="44">
                  <c:v>200.36758699999999</c:v>
                </c:pt>
                <c:pt idx="45">
                  <c:v>232.856247</c:v>
                </c:pt>
                <c:pt idx="46">
                  <c:v>272.35334399999999</c:v>
                </c:pt>
                <c:pt idx="47">
                  <c:v>315.96272099999999</c:v>
                </c:pt>
                <c:pt idx="48">
                  <c:v>202.306209</c:v>
                </c:pt>
                <c:pt idx="49">
                  <c:v>222.464527</c:v>
                </c:pt>
                <c:pt idx="50">
                  <c:v>261.79412200000002</c:v>
                </c:pt>
                <c:pt idx="51">
                  <c:v>308.66064399999999</c:v>
                </c:pt>
                <c:pt idx="52">
                  <c:v>208.40082100000001</c:v>
                </c:pt>
                <c:pt idx="53">
                  <c:v>233.20669100000001</c:v>
                </c:pt>
                <c:pt idx="54">
                  <c:v>273.85139900000001</c:v>
                </c:pt>
                <c:pt idx="55">
                  <c:v>320.019612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E-484C-8661-3F04120D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C8FF31-9E4B-7244-98E2-B8BDFA6DD61A}">
  <sheetPr codeName="Diagramm4"/>
  <sheetViews>
    <sheetView zoomScale="196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9BE4C8B-2F8B-0F43-8F9E-CD759A194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13B57-F14A-F644-BEBD-B2E4F3778F48}" name="Grundabstand" displayName="Grundabstand" ref="A2:C14" totalsRowShown="0">
  <autoFilter ref="A2:C14" xr:uid="{51313B57-F14A-F644-BEBD-B2E4F3778F48}"/>
  <tableColumns count="3">
    <tableColumn id="1" xr3:uid="{A20B8B0B-C8DD-6B4A-A80D-1E33FB8DF66E}" name="Halterung" dataDxfId="7"/>
    <tableColumn id="2" xr3:uid="{39D2E711-139E-DB40-B940-9EB95B993BCC}" name="Orientierung" dataDxfId="6"/>
    <tableColumn id="3" xr3:uid="{70CE2504-AD3F-8844-83CF-779750679C7A}" name="Grundabstand" dataDxfId="5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7" totalsRowShown="0">
  <autoFilter ref="A1:H57" xr:uid="{F7DC5883-848F-3148-B105-3DA5053DB473}"/>
  <sortState xmlns:xlrd2="http://schemas.microsoft.com/office/spreadsheetml/2017/richdata2" ref="A2:G57">
    <sortCondition ref="A2:A57"/>
    <sortCondition descending="1" ref="B2:B57"/>
    <sortCondition descending="1" ref="C2:C57"/>
  </sortState>
  <tableColumns count="8">
    <tableColumn id="1" xr3:uid="{DDB87365-E84F-DE44-BE74-D1D88C899583}" name="Halterung" dataDxfId="4"/>
    <tableColumn id="2" xr3:uid="{E63245AB-3E9A-1A45-9E51-961AA4DB20DB}" name="Orientierung" dataDxfId="3"/>
    <tableColumn id="4" xr3:uid="{DF78FFFA-ED20-3540-A29B-8AFAB0F6EBE4}" name="Messpunkt"/>
    <tableColumn id="5" xr3:uid="{0322773A-1725-7244-BBFF-F9EF7439C0C6}" name="Abstand / mm" dataDxfId="0">
      <calculatedColumnFormula array="1">(C2-1)*6 + VLOOKUP(Messwerte[[#This Row],[Halterung]]&amp;Messwerte[[#This Row],[Orientierung]],CHOOSE({1,2},Grundabstand[Halterung]&amp;Grundabstand[Orientierung],Grundabstand[Grundabstand]),2,0)+1</calculatedColumnFormula>
    </tableColumn>
    <tableColumn id="6" xr3:uid="{796C01A9-8C49-E34F-B535-695D93F3EB13}" name="Strom / nA" dataDxfId="2"/>
    <tableColumn id="7" xr3:uid="{26476CCB-61FA-9040-9CD8-7D25A317245C}" name="Unsicherheit / nA" dataDxfId="1"/>
    <tableColumn id="3" xr3:uid="{8D8A8BFE-DDA3-B34D-801B-1021FF06E62A}" name="Temperatur / °C"/>
    <tableColumn id="8" xr3:uid="{B6A00C69-DB4F-1442-AB31-F323CD774D13}" name="Luftdruck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sheetPr codeName="Tabelle1"/>
  <dimension ref="A1:G109"/>
  <sheetViews>
    <sheetView zoomScale="120" zoomScaleNormal="120" workbookViewId="0">
      <selection activeCell="D9" sqref="D9"/>
    </sheetView>
  </sheetViews>
  <sheetFormatPr baseColWidth="10" defaultRowHeight="16" x14ac:dyDescent="0.2"/>
  <cols>
    <col min="1" max="1" width="36.33203125" bestFit="1" customWidth="1"/>
    <col min="2" max="2" width="18.6640625" style="2" bestFit="1" customWidth="1"/>
    <col min="3" max="3" width="12.6640625" bestFit="1" customWidth="1"/>
    <col min="4" max="4" width="18" bestFit="1" customWidth="1"/>
    <col min="5" max="8" width="25.83203125" customWidth="1"/>
  </cols>
  <sheetData>
    <row r="1" spans="1:5" x14ac:dyDescent="0.2">
      <c r="A1" t="s">
        <v>0</v>
      </c>
      <c r="B1" s="3">
        <v>44687</v>
      </c>
    </row>
    <row r="2" spans="1:5" x14ac:dyDescent="0.2">
      <c r="A2" t="s">
        <v>1</v>
      </c>
      <c r="B2" s="2" t="s">
        <v>4</v>
      </c>
    </row>
    <row r="3" spans="1:5" x14ac:dyDescent="0.2">
      <c r="A3" t="s">
        <v>33</v>
      </c>
      <c r="B3" s="2" t="s">
        <v>34</v>
      </c>
    </row>
    <row r="4" spans="1:5" x14ac:dyDescent="0.2">
      <c r="A4" t="s">
        <v>35</v>
      </c>
      <c r="B4" s="2" t="s">
        <v>37</v>
      </c>
    </row>
    <row r="5" spans="1:5" x14ac:dyDescent="0.2">
      <c r="A5" t="s">
        <v>36</v>
      </c>
      <c r="B5" s="2">
        <v>25</v>
      </c>
    </row>
    <row r="7" spans="1:5" x14ac:dyDescent="0.2">
      <c r="A7" s="1" t="s">
        <v>7</v>
      </c>
      <c r="B7" s="4"/>
    </row>
    <row r="8" spans="1:5" x14ac:dyDescent="0.2">
      <c r="A8" t="s">
        <v>26</v>
      </c>
      <c r="B8" s="2">
        <v>0.9</v>
      </c>
    </row>
    <row r="9" spans="1:5" x14ac:dyDescent="0.2">
      <c r="A9" t="s">
        <v>5</v>
      </c>
      <c r="B9" s="2">
        <v>30</v>
      </c>
    </row>
    <row r="10" spans="1:5" x14ac:dyDescent="0.2">
      <c r="A10" t="s">
        <v>6</v>
      </c>
      <c r="B10" s="2">
        <v>100</v>
      </c>
    </row>
    <row r="11" spans="1:5" x14ac:dyDescent="0.2">
      <c r="A11" t="s">
        <v>21</v>
      </c>
      <c r="B11" s="2">
        <v>0.5</v>
      </c>
    </row>
    <row r="12" spans="1:5" x14ac:dyDescent="0.2">
      <c r="A12" t="s">
        <v>27</v>
      </c>
      <c r="B12">
        <v>1.9289999999999999E-3</v>
      </c>
    </row>
    <row r="13" spans="1:5" x14ac:dyDescent="0.2">
      <c r="A13" t="s">
        <v>28</v>
      </c>
      <c r="B13">
        <v>2.2000000000000001E-4</v>
      </c>
    </row>
    <row r="14" spans="1:5" x14ac:dyDescent="0.2">
      <c r="B14"/>
      <c r="E14" s="1"/>
    </row>
    <row r="15" spans="1:5" x14ac:dyDescent="0.2">
      <c r="A15" s="1" t="s">
        <v>14</v>
      </c>
    </row>
    <row r="16" spans="1:5" x14ac:dyDescent="0.2">
      <c r="A16" t="s">
        <v>15</v>
      </c>
      <c r="B16" s="2">
        <v>5</v>
      </c>
    </row>
    <row r="18" spans="1:5" x14ac:dyDescent="0.2">
      <c r="A18" s="1" t="s">
        <v>2</v>
      </c>
    </row>
    <row r="19" spans="1:5" x14ac:dyDescent="0.2">
      <c r="A19" t="s">
        <v>29</v>
      </c>
      <c r="B19" s="2">
        <v>1</v>
      </c>
    </row>
    <row r="20" spans="1:5" x14ac:dyDescent="0.2">
      <c r="A20" t="s">
        <v>30</v>
      </c>
      <c r="B20" s="2">
        <v>100</v>
      </c>
    </row>
    <row r="21" spans="1:5" x14ac:dyDescent="0.2">
      <c r="A21" t="s">
        <v>19</v>
      </c>
      <c r="B21" s="2" t="s">
        <v>22</v>
      </c>
    </row>
    <row r="22" spans="1:5" x14ac:dyDescent="0.2">
      <c r="A22" t="s">
        <v>25</v>
      </c>
      <c r="B22" s="2">
        <v>12</v>
      </c>
    </row>
    <row r="23" spans="1:5" x14ac:dyDescent="0.2">
      <c r="A23" t="s">
        <v>31</v>
      </c>
      <c r="B23" s="2" t="str">
        <f>IF(B20=70, "Aluminium", "Kupfer")</f>
        <v>Kupfer</v>
      </c>
    </row>
    <row r="24" spans="1:5" x14ac:dyDescent="0.2">
      <c r="A24" t="s">
        <v>32</v>
      </c>
      <c r="B24" s="2">
        <f>IF(B20=70, 1, 0.5)</f>
        <v>0.5</v>
      </c>
    </row>
    <row r="29" spans="1:5" x14ac:dyDescent="0.2">
      <c r="E29" s="1"/>
    </row>
    <row r="45" spans="7:7" ht="49" customHeight="1" x14ac:dyDescent="0.2">
      <c r="G45" s="7"/>
    </row>
    <row r="103" spans="1:6" x14ac:dyDescent="0.2">
      <c r="E103" s="8"/>
      <c r="F103" s="8"/>
    </row>
    <row r="104" spans="1:6" x14ac:dyDescent="0.2">
      <c r="E104" s="8"/>
      <c r="F104" s="8"/>
    </row>
    <row r="105" spans="1:6" x14ac:dyDescent="0.2">
      <c r="E105" s="8"/>
      <c r="F105" s="8"/>
    </row>
    <row r="106" spans="1:6" x14ac:dyDescent="0.2">
      <c r="A106" s="5"/>
      <c r="B106" s="6"/>
      <c r="E106" s="8"/>
      <c r="F106" s="8"/>
    </row>
    <row r="107" spans="1:6" x14ac:dyDescent="0.2">
      <c r="A107" s="5"/>
      <c r="B107" s="6"/>
    </row>
    <row r="108" spans="1:6" x14ac:dyDescent="0.2">
      <c r="A108" s="5"/>
      <c r="B108" s="6"/>
    </row>
    <row r="109" spans="1:6" x14ac:dyDescent="0.2">
      <c r="A109" s="5"/>
      <c r="B109" s="6"/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F83F1-4467-824F-8019-E1868F809895}">
  <sheetPr codeName="Tabelle2"/>
  <dimension ref="A1:E14"/>
  <sheetViews>
    <sheetView workbookViewId="0">
      <selection activeCell="F14" sqref="F14"/>
    </sheetView>
  </sheetViews>
  <sheetFormatPr baseColWidth="10" defaultRowHeight="16" x14ac:dyDescent="0.2"/>
  <cols>
    <col min="1" max="1" width="11.83203125" bestFit="1" customWidth="1"/>
    <col min="2" max="2" width="14" bestFit="1" customWidth="1"/>
    <col min="3" max="3" width="15.1640625" bestFit="1" customWidth="1"/>
  </cols>
  <sheetData>
    <row r="1" spans="1:5" x14ac:dyDescent="0.2">
      <c r="A1" s="10" t="s">
        <v>11</v>
      </c>
      <c r="B1" s="10"/>
      <c r="C1" s="10"/>
    </row>
    <row r="2" spans="1:5" x14ac:dyDescent="0.2">
      <c r="A2" t="s">
        <v>3</v>
      </c>
      <c r="B2" t="s">
        <v>8</v>
      </c>
      <c r="C2" t="s">
        <v>13</v>
      </c>
    </row>
    <row r="3" spans="1:5" x14ac:dyDescent="0.2">
      <c r="A3" s="5">
        <v>1</v>
      </c>
      <c r="B3" s="6" t="s">
        <v>17</v>
      </c>
      <c r="C3" s="9">
        <v>3.5</v>
      </c>
      <c r="E3" t="s">
        <v>20</v>
      </c>
    </row>
    <row r="4" spans="1:5" x14ac:dyDescent="0.2">
      <c r="A4" s="5">
        <v>1</v>
      </c>
      <c r="B4" s="6" t="s">
        <v>18</v>
      </c>
      <c r="C4" s="9">
        <v>7</v>
      </c>
    </row>
    <row r="5" spans="1:5" x14ac:dyDescent="0.2">
      <c r="A5" s="5">
        <v>2</v>
      </c>
      <c r="B5" s="6" t="s">
        <v>17</v>
      </c>
      <c r="C5" s="9">
        <v>4</v>
      </c>
    </row>
    <row r="6" spans="1:5" x14ac:dyDescent="0.2">
      <c r="A6" s="5">
        <v>2</v>
      </c>
      <c r="B6" s="6" t="s">
        <v>18</v>
      </c>
      <c r="C6" s="9">
        <v>6.5</v>
      </c>
    </row>
    <row r="7" spans="1:5" x14ac:dyDescent="0.2">
      <c r="A7" s="5">
        <v>3</v>
      </c>
      <c r="B7" s="6" t="s">
        <v>17</v>
      </c>
      <c r="C7" s="9">
        <v>4.5</v>
      </c>
    </row>
    <row r="8" spans="1:5" x14ac:dyDescent="0.2">
      <c r="A8" s="5">
        <v>3</v>
      </c>
      <c r="B8" s="6" t="s">
        <v>18</v>
      </c>
      <c r="C8" s="9">
        <v>6</v>
      </c>
    </row>
    <row r="9" spans="1:5" x14ac:dyDescent="0.2">
      <c r="A9" s="5">
        <v>4</v>
      </c>
      <c r="B9" s="6" t="s">
        <v>17</v>
      </c>
      <c r="C9" s="9">
        <v>5</v>
      </c>
    </row>
    <row r="10" spans="1:5" x14ac:dyDescent="0.2">
      <c r="A10" s="5">
        <v>4</v>
      </c>
      <c r="B10" s="6" t="s">
        <v>18</v>
      </c>
      <c r="C10" s="9">
        <v>5.5</v>
      </c>
    </row>
    <row r="11" spans="1:5" x14ac:dyDescent="0.2">
      <c r="A11" s="5">
        <v>5</v>
      </c>
      <c r="B11" s="6" t="s">
        <v>17</v>
      </c>
      <c r="C11" s="9">
        <v>8</v>
      </c>
    </row>
    <row r="12" spans="1:5" x14ac:dyDescent="0.2">
      <c r="A12" s="5">
        <v>5</v>
      </c>
      <c r="B12" s="6" t="s">
        <v>18</v>
      </c>
      <c r="C12" s="9">
        <v>8.5</v>
      </c>
    </row>
    <row r="13" spans="1:5" x14ac:dyDescent="0.2">
      <c r="A13" s="5">
        <v>6</v>
      </c>
      <c r="B13" s="6" t="s">
        <v>17</v>
      </c>
      <c r="C13" s="9">
        <v>7.5</v>
      </c>
    </row>
    <row r="14" spans="1:5" x14ac:dyDescent="0.2">
      <c r="A14" s="5">
        <v>6</v>
      </c>
      <c r="B14" s="6" t="s">
        <v>18</v>
      </c>
      <c r="C14" s="9">
        <v>9</v>
      </c>
    </row>
  </sheetData>
  <mergeCells count="1">
    <mergeCell ref="A1:C1"/>
  </mergeCell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06B0-A3F6-074E-9391-B38EFE377A26}">
  <sheetPr codeName="Tabelle3"/>
  <dimension ref="A1:H57"/>
  <sheetViews>
    <sheetView tabSelected="1" zoomScaleNormal="100" workbookViewId="0">
      <selection activeCell="D2" sqref="A2:H57"/>
    </sheetView>
  </sheetViews>
  <sheetFormatPr baseColWidth="10" defaultRowHeight="16" x14ac:dyDescent="0.2"/>
  <cols>
    <col min="1" max="1" width="11.83203125" bestFit="1" customWidth="1"/>
    <col min="2" max="2" width="11.5" bestFit="1" customWidth="1"/>
    <col min="3" max="3" width="12.6640625" bestFit="1" customWidth="1"/>
    <col min="4" max="4" width="15.5" bestFit="1" customWidth="1"/>
    <col min="5" max="5" width="12.6640625" bestFit="1" customWidth="1"/>
    <col min="6" max="6" width="18" bestFit="1" customWidth="1"/>
    <col min="7" max="7" width="17" bestFit="1" customWidth="1"/>
  </cols>
  <sheetData>
    <row r="1" spans="1:8" x14ac:dyDescent="0.2">
      <c r="A1" t="s">
        <v>3</v>
      </c>
      <c r="B1" s="2" t="s">
        <v>8</v>
      </c>
      <c r="C1" t="s">
        <v>9</v>
      </c>
      <c r="D1" t="s">
        <v>10</v>
      </c>
      <c r="E1" t="s">
        <v>12</v>
      </c>
      <c r="F1" t="s">
        <v>16</v>
      </c>
      <c r="G1" t="s">
        <v>23</v>
      </c>
      <c r="H1" t="s">
        <v>24</v>
      </c>
    </row>
    <row r="2" spans="1:8" x14ac:dyDescent="0.2">
      <c r="A2" s="5">
        <v>1</v>
      </c>
      <c r="B2" s="6" t="s">
        <v>18</v>
      </c>
      <c r="C2">
        <v>5</v>
      </c>
      <c r="D2" s="9" cm="1">
        <f t="array" ref="D2">(C2-1)*6 + VLOOKUP(Messwerte[[#This Row],[Halterung]]&amp;Messwerte[[#This Row],[Orientierung]],CHOOSE({1,2},Grundabstand[Halterung]&amp;Grundabstand[Orientierung],Grundabstand[Grundabstand]),2,0)+1</f>
        <v>32</v>
      </c>
      <c r="E2" s="8">
        <v>188.106424</v>
      </c>
      <c r="F2" s="8">
        <v>7.9100000000000004E-2</v>
      </c>
      <c r="G2">
        <v>23.9</v>
      </c>
      <c r="H2">
        <v>984.7</v>
      </c>
    </row>
    <row r="3" spans="1:8" x14ac:dyDescent="0.2">
      <c r="A3" s="5">
        <v>1</v>
      </c>
      <c r="B3" s="6" t="s">
        <v>18</v>
      </c>
      <c r="C3">
        <v>4</v>
      </c>
      <c r="D3" s="9" cm="1">
        <f t="array" ref="D3">(C3-1)*6 + VLOOKUP(Messwerte[[#This Row],[Halterung]]&amp;Messwerte[[#This Row],[Orientierung]],CHOOSE({1,2},Grundabstand[Halterung]&amp;Grundabstand[Orientierung],Grundabstand[Grundabstand]),2,0)+1</f>
        <v>26</v>
      </c>
      <c r="E3" s="8">
        <v>204.25112200000001</v>
      </c>
      <c r="F3" s="8">
        <v>9.2200000000000004E-2</v>
      </c>
      <c r="G3">
        <v>23.9</v>
      </c>
      <c r="H3">
        <v>984.7</v>
      </c>
    </row>
    <row r="4" spans="1:8" x14ac:dyDescent="0.2">
      <c r="A4" s="5">
        <v>1</v>
      </c>
      <c r="B4" s="6" t="s">
        <v>18</v>
      </c>
      <c r="C4">
        <v>3</v>
      </c>
      <c r="D4" s="9" cm="1">
        <f t="array" ref="D4">(C4-1)*6 + VLOOKUP(Messwerte[[#This Row],[Halterung]]&amp;Messwerte[[#This Row],[Orientierung]],CHOOSE({1,2},Grundabstand[Halterung]&amp;Grundabstand[Orientierung],Grundabstand[Grundabstand]),2,0)+1</f>
        <v>20</v>
      </c>
      <c r="E4" s="8">
        <v>240.250079</v>
      </c>
      <c r="F4" s="8">
        <v>9.8199999999999996E-2</v>
      </c>
      <c r="G4">
        <v>23.9</v>
      </c>
      <c r="H4">
        <v>984.7</v>
      </c>
    </row>
    <row r="5" spans="1:8" x14ac:dyDescent="0.2">
      <c r="A5" s="5">
        <v>1</v>
      </c>
      <c r="B5" s="6" t="s">
        <v>18</v>
      </c>
      <c r="C5">
        <v>2</v>
      </c>
      <c r="D5" s="9" cm="1">
        <f t="array" ref="D5">(C5-1)*6 + VLOOKUP(Messwerte[[#This Row],[Halterung]]&amp;Messwerte[[#This Row],[Orientierung]],CHOOSE({1,2},Grundabstand[Halterung]&amp;Grundabstand[Orientierung],Grundabstand[Grundabstand]),2,0)+1</f>
        <v>14</v>
      </c>
      <c r="E5" s="8">
        <v>280.15290700000003</v>
      </c>
      <c r="F5" s="8">
        <v>9.1200000000000003E-2</v>
      </c>
      <c r="G5">
        <v>23.9</v>
      </c>
      <c r="H5">
        <v>984.7</v>
      </c>
    </row>
    <row r="6" spans="1:8" x14ac:dyDescent="0.2">
      <c r="A6" s="5">
        <v>1</v>
      </c>
      <c r="B6" s="6" t="s">
        <v>18</v>
      </c>
      <c r="C6">
        <v>1</v>
      </c>
      <c r="D6" s="9" cm="1">
        <f t="array" ref="D6">(C6-1)*6 + VLOOKUP(Messwerte[[#This Row],[Halterung]]&amp;Messwerte[[#This Row],[Orientierung]],CHOOSE({1,2},Grundabstand[Halterung]&amp;Grundabstand[Orientierung],Grundabstand[Grundabstand]),2,0)+1</f>
        <v>8</v>
      </c>
      <c r="E6" s="8">
        <v>324.45473700000002</v>
      </c>
      <c r="F6" s="8">
        <v>0.1</v>
      </c>
      <c r="G6">
        <v>23.9</v>
      </c>
      <c r="H6">
        <v>984.7</v>
      </c>
    </row>
    <row r="7" spans="1:8" x14ac:dyDescent="0.2">
      <c r="A7" s="5">
        <v>1</v>
      </c>
      <c r="B7" s="6" t="s">
        <v>17</v>
      </c>
      <c r="C7">
        <v>5</v>
      </c>
      <c r="D7" s="9" cm="1">
        <f t="array" ref="D7">(C7-1)*6 + VLOOKUP(Messwerte[[#This Row],[Halterung]]&amp;Messwerte[[#This Row],[Orientierung]],CHOOSE({1,2},Grundabstand[Halterung]&amp;Grundabstand[Orientierung],Grundabstand[Grundabstand]),2,0)+1</f>
        <v>28.5</v>
      </c>
      <c r="E7" s="8">
        <v>199.17757499999999</v>
      </c>
      <c r="F7" s="8">
        <v>0.107</v>
      </c>
      <c r="G7">
        <v>23.9</v>
      </c>
      <c r="H7">
        <v>984.7</v>
      </c>
    </row>
    <row r="8" spans="1:8" x14ac:dyDescent="0.2">
      <c r="A8" s="5">
        <v>1</v>
      </c>
      <c r="B8" s="6" t="s">
        <v>17</v>
      </c>
      <c r="C8">
        <v>4</v>
      </c>
      <c r="D8" s="9" cm="1">
        <f t="array" ref="D8">(C8-1)*6 + VLOOKUP(Messwerte[[#This Row],[Halterung]]&amp;Messwerte[[#This Row],[Orientierung]],CHOOSE({1,2},Grundabstand[Halterung]&amp;Grundabstand[Orientierung],Grundabstand[Grundabstand]),2,0)+1</f>
        <v>22.5</v>
      </c>
      <c r="E8" s="8">
        <v>231.560563</v>
      </c>
      <c r="F8" s="8">
        <v>9.9599999999999994E-2</v>
      </c>
      <c r="G8">
        <v>23.9</v>
      </c>
      <c r="H8">
        <v>984.7</v>
      </c>
    </row>
    <row r="9" spans="1:8" x14ac:dyDescent="0.2">
      <c r="A9" s="5">
        <v>1</v>
      </c>
      <c r="B9" s="6" t="s">
        <v>17</v>
      </c>
      <c r="C9">
        <v>3</v>
      </c>
      <c r="D9" s="9" cm="1">
        <f t="array" ref="D9">(C9-1)*6 + VLOOKUP(Messwerte[[#This Row],[Halterung]]&amp;Messwerte[[#This Row],[Orientierung]],CHOOSE({1,2},Grundabstand[Halterung]&amp;Grundabstand[Orientierung],Grundabstand[Grundabstand]),2,0)+1</f>
        <v>16.5</v>
      </c>
      <c r="E9" s="8">
        <v>270.22521499999999</v>
      </c>
      <c r="F9" s="8">
        <v>0.108</v>
      </c>
      <c r="G9">
        <v>23.9</v>
      </c>
      <c r="H9">
        <v>984.7</v>
      </c>
    </row>
    <row r="10" spans="1:8" x14ac:dyDescent="0.2">
      <c r="A10" s="5">
        <v>1</v>
      </c>
      <c r="B10" s="6" t="s">
        <v>17</v>
      </c>
      <c r="C10">
        <v>2</v>
      </c>
      <c r="D10" s="9" cm="1">
        <f t="array" ref="D10">(C10-1)*6 + VLOOKUP(Messwerte[[#This Row],[Halterung]]&amp;Messwerte[[#This Row],[Orientierung]],CHOOSE({1,2},Grundabstand[Halterung]&amp;Grundabstand[Orientierung],Grundabstand[Grundabstand]),2,0)+1</f>
        <v>10.5</v>
      </c>
      <c r="E10" s="8">
        <v>304.73780900000003</v>
      </c>
      <c r="F10" s="8">
        <v>0.12</v>
      </c>
      <c r="G10">
        <v>23.9</v>
      </c>
      <c r="H10">
        <v>984.7</v>
      </c>
    </row>
    <row r="11" spans="1:8" x14ac:dyDescent="0.2">
      <c r="A11" s="5">
        <v>1</v>
      </c>
      <c r="B11" s="6" t="s">
        <v>17</v>
      </c>
      <c r="C11">
        <v>1</v>
      </c>
      <c r="D11" s="9" cm="1">
        <f t="array" ref="D11">(C11-1)*6 + VLOOKUP(Messwerte[[#This Row],[Halterung]]&amp;Messwerte[[#This Row],[Orientierung]],CHOOSE({1,2},Grundabstand[Halterung]&amp;Grundabstand[Orientierung],Grundabstand[Grundabstand]),2,0)+1</f>
        <v>4.5</v>
      </c>
      <c r="E11" s="8">
        <v>351.86660799999999</v>
      </c>
      <c r="F11" s="8">
        <v>0.115</v>
      </c>
      <c r="G11">
        <v>23.9</v>
      </c>
      <c r="H11">
        <v>984.7</v>
      </c>
    </row>
    <row r="12" spans="1:8" x14ac:dyDescent="0.2">
      <c r="A12" s="5">
        <v>2</v>
      </c>
      <c r="B12" s="6" t="s">
        <v>18</v>
      </c>
      <c r="C12">
        <v>5</v>
      </c>
      <c r="D12" s="9" cm="1">
        <f t="array" ref="D12">(C12-1)*6 + VLOOKUP(Messwerte[[#This Row],[Halterung]]&amp;Messwerte[[#This Row],[Orientierung]],CHOOSE({1,2},Grundabstand[Halterung]&amp;Grundabstand[Orientierung],Grundabstand[Grundabstand]),2,0)+1</f>
        <v>31.5</v>
      </c>
      <c r="E12" s="8">
        <v>185.17055500000001</v>
      </c>
      <c r="F12" s="8">
        <v>8.3400000000000002E-2</v>
      </c>
      <c r="G12">
        <v>23.9</v>
      </c>
      <c r="H12">
        <v>984.7</v>
      </c>
    </row>
    <row r="13" spans="1:8" x14ac:dyDescent="0.2">
      <c r="A13" s="5">
        <v>2</v>
      </c>
      <c r="B13" s="6" t="s">
        <v>18</v>
      </c>
      <c r="C13">
        <v>4</v>
      </c>
      <c r="D13" s="9" cm="1">
        <f t="array" ref="D13">(C13-1)*6 + VLOOKUP(Messwerte[[#This Row],[Halterung]]&amp;Messwerte[[#This Row],[Orientierung]],CHOOSE({1,2},Grundabstand[Halterung]&amp;Grundabstand[Orientierung],Grundabstand[Grundabstand]),2,0)+1</f>
        <v>25.5</v>
      </c>
      <c r="E13" s="8">
        <v>208.590172</v>
      </c>
      <c r="F13" s="8">
        <v>0.10199999999999999</v>
      </c>
      <c r="G13">
        <v>23.9</v>
      </c>
      <c r="H13">
        <v>984.7</v>
      </c>
    </row>
    <row r="14" spans="1:8" x14ac:dyDescent="0.2">
      <c r="A14" s="5">
        <v>2</v>
      </c>
      <c r="B14" s="6" t="s">
        <v>18</v>
      </c>
      <c r="C14">
        <v>3</v>
      </c>
      <c r="D14" s="9" cm="1">
        <f t="array" ref="D14">(C14-1)*6 + VLOOKUP(Messwerte[[#This Row],[Halterung]]&amp;Messwerte[[#This Row],[Orientierung]],CHOOSE({1,2},Grundabstand[Halterung]&amp;Grundabstand[Orientierung],Grundabstand[Grundabstand]),2,0)+1</f>
        <v>19.5</v>
      </c>
      <c r="E14" s="8">
        <v>242.73607999999999</v>
      </c>
      <c r="F14" s="8">
        <v>0.10299999999999999</v>
      </c>
      <c r="G14">
        <v>23.9</v>
      </c>
      <c r="H14">
        <v>984.7</v>
      </c>
    </row>
    <row r="15" spans="1:8" x14ac:dyDescent="0.2">
      <c r="A15" s="5">
        <v>2</v>
      </c>
      <c r="B15" s="6" t="s">
        <v>18</v>
      </c>
      <c r="C15">
        <v>2</v>
      </c>
      <c r="D15" s="9" cm="1">
        <f t="array" ref="D15">(C15-1)*6 + VLOOKUP(Messwerte[[#This Row],[Halterung]]&amp;Messwerte[[#This Row],[Orientierung]],CHOOSE({1,2},Grundabstand[Halterung]&amp;Grundabstand[Orientierung],Grundabstand[Grundabstand]),2,0)+1</f>
        <v>13.5</v>
      </c>
      <c r="E15" s="8">
        <v>283.57647300000002</v>
      </c>
      <c r="F15" s="8">
        <v>0.109</v>
      </c>
      <c r="G15">
        <v>23.9</v>
      </c>
      <c r="H15">
        <v>984.7</v>
      </c>
    </row>
    <row r="16" spans="1:8" x14ac:dyDescent="0.2">
      <c r="A16" s="5">
        <v>2</v>
      </c>
      <c r="B16" s="6" t="s">
        <v>18</v>
      </c>
      <c r="C16">
        <v>1</v>
      </c>
      <c r="D16" s="9" cm="1">
        <f t="array" ref="D16">(C16-1)*6 + VLOOKUP(Messwerte[[#This Row],[Halterung]]&amp;Messwerte[[#This Row],[Orientierung]],CHOOSE({1,2},Grundabstand[Halterung]&amp;Grundabstand[Orientierung],Grundabstand[Grundabstand]),2,0)+1</f>
        <v>7.5</v>
      </c>
      <c r="E16" s="8">
        <v>328.11660799999999</v>
      </c>
      <c r="F16" s="8">
        <v>0.12</v>
      </c>
      <c r="G16">
        <v>23.9</v>
      </c>
      <c r="H16">
        <v>984.7</v>
      </c>
    </row>
    <row r="17" spans="1:8" x14ac:dyDescent="0.2">
      <c r="A17" s="5">
        <v>2</v>
      </c>
      <c r="B17" s="6" t="s">
        <v>17</v>
      </c>
      <c r="C17">
        <v>5</v>
      </c>
      <c r="D17" s="9" cm="1">
        <f t="array" ref="D17">(C17-1)*6 + VLOOKUP(Messwerte[[#This Row],[Halterung]]&amp;Messwerte[[#This Row],[Orientierung]],CHOOSE({1,2},Grundabstand[Halterung]&amp;Grundabstand[Orientierung],Grundabstand[Grundabstand]),2,0)+1</f>
        <v>29</v>
      </c>
      <c r="E17" s="8">
        <v>193.76693700000001</v>
      </c>
      <c r="F17" s="8">
        <v>7.5899999999999995E-2</v>
      </c>
      <c r="G17">
        <v>23.9</v>
      </c>
      <c r="H17">
        <v>984.7</v>
      </c>
    </row>
    <row r="18" spans="1:8" x14ac:dyDescent="0.2">
      <c r="A18" s="5">
        <v>2</v>
      </c>
      <c r="B18" s="6" t="s">
        <v>17</v>
      </c>
      <c r="C18">
        <v>4</v>
      </c>
      <c r="D18" s="9" cm="1">
        <f t="array" ref="D18">(C18-1)*6 + VLOOKUP(Messwerte[[#This Row],[Halterung]]&amp;Messwerte[[#This Row],[Orientierung]],CHOOSE({1,2},Grundabstand[Halterung]&amp;Grundabstand[Orientierung],Grundabstand[Grundabstand]),2,0)+1</f>
        <v>23</v>
      </c>
      <c r="E18" s="8">
        <v>223.292551</v>
      </c>
      <c r="F18" s="8">
        <v>0.106</v>
      </c>
      <c r="G18">
        <v>23.9</v>
      </c>
      <c r="H18">
        <v>984.7</v>
      </c>
    </row>
    <row r="19" spans="1:8" x14ac:dyDescent="0.2">
      <c r="A19" s="5">
        <v>2</v>
      </c>
      <c r="B19" s="6" t="s">
        <v>17</v>
      </c>
      <c r="C19">
        <v>3</v>
      </c>
      <c r="D19" s="9" cm="1">
        <f t="array" ref="D19">(C19-1)*6 + VLOOKUP(Messwerte[[#This Row],[Halterung]]&amp;Messwerte[[#This Row],[Orientierung]],CHOOSE({1,2},Grundabstand[Halterung]&amp;Grundabstand[Orientierung],Grundabstand[Grundabstand]),2,0)+1</f>
        <v>17</v>
      </c>
      <c r="E19" s="8">
        <v>260.64937200000003</v>
      </c>
      <c r="F19" s="8">
        <v>9.4899999999999998E-2</v>
      </c>
      <c r="G19">
        <v>23.9</v>
      </c>
      <c r="H19">
        <v>984.7</v>
      </c>
    </row>
    <row r="20" spans="1:8" x14ac:dyDescent="0.2">
      <c r="A20" s="5">
        <v>2</v>
      </c>
      <c r="B20" s="6" t="s">
        <v>17</v>
      </c>
      <c r="C20">
        <v>2</v>
      </c>
      <c r="D20" s="9" cm="1">
        <f t="array" ref="D20">(C20-1)*6 + VLOOKUP(Messwerte[[#This Row],[Halterung]]&amp;Messwerte[[#This Row],[Orientierung]],CHOOSE({1,2},Grundabstand[Halterung]&amp;Grundabstand[Orientierung],Grundabstand[Grundabstand]),2,0)+1</f>
        <v>11</v>
      </c>
      <c r="E20" s="8">
        <v>303.11050599999999</v>
      </c>
      <c r="F20" s="8">
        <v>0.10100000000000001</v>
      </c>
      <c r="G20">
        <v>23.9</v>
      </c>
      <c r="H20">
        <v>984.7</v>
      </c>
    </row>
    <row r="21" spans="1:8" x14ac:dyDescent="0.2">
      <c r="A21" s="5">
        <v>2</v>
      </c>
      <c r="B21" s="6" t="s">
        <v>17</v>
      </c>
      <c r="C21">
        <v>1</v>
      </c>
      <c r="D21" s="9" cm="1">
        <f t="array" ref="D21">(C21-1)*6 + VLOOKUP(Messwerte[[#This Row],[Halterung]]&amp;Messwerte[[#This Row],[Orientierung]],CHOOSE({1,2},Grundabstand[Halterung]&amp;Grundabstand[Orientierung],Grundabstand[Grundabstand]),2,0)+1</f>
        <v>5</v>
      </c>
      <c r="E21" s="8">
        <v>348.114576</v>
      </c>
      <c r="F21" s="8">
        <v>0.115</v>
      </c>
      <c r="G21">
        <v>23.9</v>
      </c>
      <c r="H21">
        <v>984.7</v>
      </c>
    </row>
    <row r="22" spans="1:8" x14ac:dyDescent="0.2">
      <c r="A22" s="5">
        <v>3</v>
      </c>
      <c r="B22" s="6" t="s">
        <v>18</v>
      </c>
      <c r="C22">
        <v>5</v>
      </c>
      <c r="D22" s="9" cm="1">
        <f t="array" ref="D22">(C22-1)*6 + VLOOKUP(Messwerte[[#This Row],[Halterung]]&amp;Messwerte[[#This Row],[Orientierung]],CHOOSE({1,2},Grundabstand[Halterung]&amp;Grundabstand[Orientierung],Grundabstand[Grundabstand]),2,0)+1</f>
        <v>31</v>
      </c>
      <c r="E22" s="8">
        <v>185.930182</v>
      </c>
      <c r="F22" s="8">
        <v>8.5800000000000001E-2</v>
      </c>
      <c r="G22">
        <v>23.9</v>
      </c>
      <c r="H22">
        <v>984.7</v>
      </c>
    </row>
    <row r="23" spans="1:8" x14ac:dyDescent="0.2">
      <c r="A23" s="5">
        <v>3</v>
      </c>
      <c r="B23" s="6" t="s">
        <v>18</v>
      </c>
      <c r="C23">
        <v>4</v>
      </c>
      <c r="D23" s="9" cm="1">
        <f t="array" ref="D23">(C23-1)*6 + VLOOKUP(Messwerte[[#This Row],[Halterung]]&amp;Messwerte[[#This Row],[Orientierung]],CHOOSE({1,2},Grundabstand[Halterung]&amp;Grundabstand[Orientierung],Grundabstand[Grundabstand]),2,0)+1</f>
        <v>25</v>
      </c>
      <c r="E23" s="8">
        <v>210.91412099999999</v>
      </c>
      <c r="F23" s="8">
        <v>9.0700000000000003E-2</v>
      </c>
      <c r="G23">
        <v>23.9</v>
      </c>
      <c r="H23">
        <v>984.7</v>
      </c>
    </row>
    <row r="24" spans="1:8" x14ac:dyDescent="0.2">
      <c r="A24" s="5">
        <v>3</v>
      </c>
      <c r="B24" s="6" t="s">
        <v>18</v>
      </c>
      <c r="C24">
        <v>3</v>
      </c>
      <c r="D24" s="9" cm="1">
        <f t="array" ref="D24">(C24-1)*6 + VLOOKUP(Messwerte[[#This Row],[Halterung]]&amp;Messwerte[[#This Row],[Orientierung]],CHOOSE({1,2},Grundabstand[Halterung]&amp;Grundabstand[Orientierung],Grundabstand[Grundabstand]),2,0)+1</f>
        <v>19</v>
      </c>
      <c r="E24" s="8">
        <v>245.52979300000001</v>
      </c>
      <c r="F24" s="8">
        <v>0.109</v>
      </c>
      <c r="G24">
        <v>23.9</v>
      </c>
      <c r="H24">
        <v>984.7</v>
      </c>
    </row>
    <row r="25" spans="1:8" x14ac:dyDescent="0.2">
      <c r="A25" s="5">
        <v>3</v>
      </c>
      <c r="B25" s="6" t="s">
        <v>18</v>
      </c>
      <c r="C25">
        <v>2</v>
      </c>
      <c r="D25" s="9" cm="1">
        <f t="array" ref="D25">(C25-1)*6 + VLOOKUP(Messwerte[[#This Row],[Halterung]]&amp;Messwerte[[#This Row],[Orientierung]],CHOOSE({1,2},Grundabstand[Halterung]&amp;Grundabstand[Orientierung],Grundabstand[Grundabstand]),2,0)+1</f>
        <v>13</v>
      </c>
      <c r="E25" s="8">
        <v>285.93059099999999</v>
      </c>
      <c r="F25" s="8">
        <v>0.126</v>
      </c>
      <c r="G25">
        <v>23.9</v>
      </c>
      <c r="H25">
        <v>984.7</v>
      </c>
    </row>
    <row r="26" spans="1:8" x14ac:dyDescent="0.2">
      <c r="A26" s="5">
        <v>3</v>
      </c>
      <c r="B26" s="6" t="s">
        <v>18</v>
      </c>
      <c r="C26">
        <v>1</v>
      </c>
      <c r="D26" s="9" cm="1">
        <f t="array" ref="D26">(C26-1)*6 + VLOOKUP(Messwerte[[#This Row],[Halterung]]&amp;Messwerte[[#This Row],[Orientierung]],CHOOSE({1,2},Grundabstand[Halterung]&amp;Grundabstand[Orientierung],Grundabstand[Grundabstand]),2,0)+1</f>
        <v>7</v>
      </c>
      <c r="E26" s="8">
        <v>332.24035600000002</v>
      </c>
      <c r="F26" s="8">
        <v>0.112</v>
      </c>
      <c r="G26">
        <v>23.9</v>
      </c>
      <c r="H26">
        <v>984.7</v>
      </c>
    </row>
    <row r="27" spans="1:8" x14ac:dyDescent="0.2">
      <c r="A27" s="5">
        <v>3</v>
      </c>
      <c r="B27" s="6" t="s">
        <v>17</v>
      </c>
      <c r="C27">
        <v>5</v>
      </c>
      <c r="D27" s="9" cm="1">
        <f t="array" ref="D27">(C27-1)*6 + VLOOKUP(Messwerte[[#This Row],[Halterung]]&amp;Messwerte[[#This Row],[Orientierung]],CHOOSE({1,2},Grundabstand[Halterung]&amp;Grundabstand[Orientierung],Grundabstand[Grundabstand]),2,0)+1</f>
        <v>29.5</v>
      </c>
      <c r="E27" s="8">
        <v>190.58553900000001</v>
      </c>
      <c r="F27" s="8">
        <v>8.9599999999999999E-2</v>
      </c>
      <c r="G27">
        <v>23.9</v>
      </c>
      <c r="H27">
        <v>984.7</v>
      </c>
    </row>
    <row r="28" spans="1:8" x14ac:dyDescent="0.2">
      <c r="A28" s="5">
        <v>3</v>
      </c>
      <c r="B28" s="6" t="s">
        <v>17</v>
      </c>
      <c r="C28">
        <v>4</v>
      </c>
      <c r="D28" s="9" cm="1">
        <f t="array" ref="D28">(C28-1)*6 + VLOOKUP(Messwerte[[#This Row],[Halterung]]&amp;Messwerte[[#This Row],[Orientierung]],CHOOSE({1,2},Grundabstand[Halterung]&amp;Grundabstand[Orientierung],Grundabstand[Grundabstand]),2,0)+1</f>
        <v>23.5</v>
      </c>
      <c r="E28" s="8">
        <v>218.50426200000001</v>
      </c>
      <c r="F28" s="8">
        <v>0.10100000000000001</v>
      </c>
      <c r="G28">
        <v>23.9</v>
      </c>
      <c r="H28">
        <v>984.7</v>
      </c>
    </row>
    <row r="29" spans="1:8" x14ac:dyDescent="0.2">
      <c r="A29" s="5">
        <v>3</v>
      </c>
      <c r="B29" s="6" t="s">
        <v>17</v>
      </c>
      <c r="C29">
        <v>3</v>
      </c>
      <c r="D29" s="9" cm="1">
        <f t="array" ref="D29">(C29-1)*6 + VLOOKUP(Messwerte[[#This Row],[Halterung]]&amp;Messwerte[[#This Row],[Orientierung]],CHOOSE({1,2},Grundabstand[Halterung]&amp;Grundabstand[Orientierung],Grundabstand[Grundabstand]),2,0)+1</f>
        <v>17.5</v>
      </c>
      <c r="E29" s="8">
        <v>256.99196799999999</v>
      </c>
      <c r="F29" s="8">
        <v>0.10299999999999999</v>
      </c>
      <c r="G29">
        <v>23.9</v>
      </c>
      <c r="H29">
        <v>984.7</v>
      </c>
    </row>
    <row r="30" spans="1:8" x14ac:dyDescent="0.2">
      <c r="A30" s="5">
        <v>3</v>
      </c>
      <c r="B30" s="6" t="s">
        <v>17</v>
      </c>
      <c r="C30">
        <v>2</v>
      </c>
      <c r="D30" s="9" cm="1">
        <f t="array" ref="D30">(C30-1)*6 + VLOOKUP(Messwerte[[#This Row],[Halterung]]&amp;Messwerte[[#This Row],[Orientierung]],CHOOSE({1,2},Grundabstand[Halterung]&amp;Grundabstand[Orientierung],Grundabstand[Grundabstand]),2,0)+1</f>
        <v>11.5</v>
      </c>
      <c r="E30" s="8">
        <v>299.31929500000001</v>
      </c>
      <c r="F30" s="8">
        <v>0.121</v>
      </c>
      <c r="G30">
        <v>23.9</v>
      </c>
      <c r="H30">
        <v>984.7</v>
      </c>
    </row>
    <row r="31" spans="1:8" x14ac:dyDescent="0.2">
      <c r="A31" s="5">
        <v>3</v>
      </c>
      <c r="B31" s="6" t="s">
        <v>17</v>
      </c>
      <c r="C31">
        <v>1</v>
      </c>
      <c r="D31" s="9" cm="1">
        <f t="array" ref="D31">(C31-1)*6 + VLOOKUP(Messwerte[[#This Row],[Halterung]]&amp;Messwerte[[#This Row],[Orientierung]],CHOOSE({1,2},Grundabstand[Halterung]&amp;Grundabstand[Orientierung],Grundabstand[Grundabstand]),2,0)+1</f>
        <v>5.5</v>
      </c>
      <c r="E31" s="8">
        <v>343.86576600000001</v>
      </c>
      <c r="F31" s="8">
        <v>0.124</v>
      </c>
      <c r="G31">
        <v>23.9</v>
      </c>
      <c r="H31">
        <v>984.7</v>
      </c>
    </row>
    <row r="32" spans="1:8" x14ac:dyDescent="0.2">
      <c r="A32" s="5">
        <v>4</v>
      </c>
      <c r="B32" s="6" t="s">
        <v>18</v>
      </c>
      <c r="C32">
        <v>5</v>
      </c>
      <c r="D32" s="9" cm="1">
        <f t="array" ref="D32">(C32-1)*6 + VLOOKUP(Messwerte[[#This Row],[Halterung]]&amp;Messwerte[[#This Row],[Orientierung]],CHOOSE({1,2},Grundabstand[Halterung]&amp;Grundabstand[Orientierung],Grundabstand[Grundabstand]),2,0)+1</f>
        <v>30.5</v>
      </c>
      <c r="E32" s="8">
        <v>188.768011</v>
      </c>
      <c r="F32" s="8">
        <v>7.9799999999999996E-2</v>
      </c>
      <c r="G32">
        <v>23.9</v>
      </c>
      <c r="H32">
        <v>984.7</v>
      </c>
    </row>
    <row r="33" spans="1:8" x14ac:dyDescent="0.2">
      <c r="A33" s="5">
        <v>4</v>
      </c>
      <c r="B33" s="6" t="s">
        <v>18</v>
      </c>
      <c r="C33">
        <v>4</v>
      </c>
      <c r="D33" s="9" cm="1">
        <f t="array" ref="D33">(C33-1)*6 + VLOOKUP(Messwerte[[#This Row],[Halterung]]&amp;Messwerte[[#This Row],[Orientierung]],CHOOSE({1,2},Grundabstand[Halterung]&amp;Grundabstand[Orientierung],Grundabstand[Grundabstand]),2,0)+1</f>
        <v>24.5</v>
      </c>
      <c r="E33" s="8">
        <v>214.75101699999999</v>
      </c>
      <c r="F33" s="8">
        <v>9.2200000000000004E-2</v>
      </c>
      <c r="G33">
        <v>23.9</v>
      </c>
      <c r="H33">
        <v>984.7</v>
      </c>
    </row>
    <row r="34" spans="1:8" x14ac:dyDescent="0.2">
      <c r="A34" s="5">
        <v>4</v>
      </c>
      <c r="B34" s="6" t="s">
        <v>18</v>
      </c>
      <c r="C34">
        <v>3</v>
      </c>
      <c r="D34" s="9" cm="1">
        <f t="array" ref="D34">(C34-1)*6 + VLOOKUP(Messwerte[[#This Row],[Halterung]]&amp;Messwerte[[#This Row],[Orientierung]],CHOOSE({1,2},Grundabstand[Halterung]&amp;Grundabstand[Orientierung],Grundabstand[Grundabstand]),2,0)+1</f>
        <v>18.5</v>
      </c>
      <c r="E34" s="8">
        <v>249.58507399999999</v>
      </c>
      <c r="F34" s="8">
        <v>9.2899999999999996E-2</v>
      </c>
      <c r="G34">
        <v>23.9</v>
      </c>
      <c r="H34">
        <v>984.7</v>
      </c>
    </row>
    <row r="35" spans="1:8" x14ac:dyDescent="0.2">
      <c r="A35" s="5">
        <v>4</v>
      </c>
      <c r="B35" s="6" t="s">
        <v>18</v>
      </c>
      <c r="C35">
        <v>2</v>
      </c>
      <c r="D35" s="9" cm="1">
        <f t="array" ref="D35">(C35-1)*6 + VLOOKUP(Messwerte[[#This Row],[Halterung]]&amp;Messwerte[[#This Row],[Orientierung]],CHOOSE({1,2},Grundabstand[Halterung]&amp;Grundabstand[Orientierung],Grundabstand[Grundabstand]),2,0)+1</f>
        <v>12.5</v>
      </c>
      <c r="E35" s="8">
        <v>290.67749199999997</v>
      </c>
      <c r="F35" s="8">
        <v>0.126</v>
      </c>
      <c r="G35">
        <v>23.9</v>
      </c>
      <c r="H35">
        <v>984.7</v>
      </c>
    </row>
    <row r="36" spans="1:8" x14ac:dyDescent="0.2">
      <c r="A36" s="5">
        <v>4</v>
      </c>
      <c r="B36" s="6" t="s">
        <v>18</v>
      </c>
      <c r="C36">
        <v>1</v>
      </c>
      <c r="D36" s="9" cm="1">
        <f t="array" ref="D36">(C36-1)*6 + VLOOKUP(Messwerte[[#This Row],[Halterung]]&amp;Messwerte[[#This Row],[Orientierung]],CHOOSE({1,2},Grundabstand[Halterung]&amp;Grundabstand[Orientierung],Grundabstand[Grundabstand]),2,0)+1</f>
        <v>6.5</v>
      </c>
      <c r="E36" s="8">
        <v>335.41274800000002</v>
      </c>
      <c r="F36" s="8">
        <v>0.126</v>
      </c>
      <c r="G36">
        <v>23.9</v>
      </c>
      <c r="H36">
        <v>984.7</v>
      </c>
    </row>
    <row r="37" spans="1:8" x14ac:dyDescent="0.2">
      <c r="A37" s="5">
        <v>4</v>
      </c>
      <c r="B37" s="6" t="s">
        <v>17</v>
      </c>
      <c r="C37">
        <v>5</v>
      </c>
      <c r="D37" s="9" cm="1">
        <f t="array" ref="D37">(C37-1)*6 + VLOOKUP(Messwerte[[#This Row],[Halterung]]&amp;Messwerte[[#This Row],[Orientierung]],CHOOSE({1,2},Grundabstand[Halterung]&amp;Grundabstand[Orientierung],Grundabstand[Grundabstand]),2,0)+1</f>
        <v>30</v>
      </c>
      <c r="E37" s="8">
        <v>188.98357100000001</v>
      </c>
      <c r="F37" s="8">
        <v>8.8700000000000001E-2</v>
      </c>
      <c r="G37">
        <v>23.9</v>
      </c>
      <c r="H37">
        <v>984.7</v>
      </c>
    </row>
    <row r="38" spans="1:8" x14ac:dyDescent="0.2">
      <c r="A38" s="5">
        <v>4</v>
      </c>
      <c r="B38" s="6" t="s">
        <v>17</v>
      </c>
      <c r="C38">
        <v>4</v>
      </c>
      <c r="D38" s="9" cm="1">
        <f t="array" ref="D38">(C38-1)*6 + VLOOKUP(Messwerte[[#This Row],[Halterung]]&amp;Messwerte[[#This Row],[Orientierung]],CHOOSE({1,2},Grundabstand[Halterung]&amp;Grundabstand[Orientierung],Grundabstand[Grundabstand]),2,0)+1</f>
        <v>24</v>
      </c>
      <c r="E38" s="8">
        <v>216.271096</v>
      </c>
      <c r="F38" s="8">
        <v>0.106</v>
      </c>
      <c r="G38">
        <v>23.9</v>
      </c>
      <c r="H38">
        <v>984.7</v>
      </c>
    </row>
    <row r="39" spans="1:8" x14ac:dyDescent="0.2">
      <c r="A39" s="5">
        <v>4</v>
      </c>
      <c r="B39" s="6" t="s">
        <v>17</v>
      </c>
      <c r="C39">
        <v>3</v>
      </c>
      <c r="D39" s="9" cm="1">
        <f t="array" ref="D39">(C39-1)*6 + VLOOKUP(Messwerte[[#This Row],[Halterung]]&amp;Messwerte[[#This Row],[Orientierung]],CHOOSE({1,2},Grundabstand[Halterung]&amp;Grundabstand[Orientierung],Grundabstand[Grundabstand]),2,0)+1</f>
        <v>18</v>
      </c>
      <c r="E39" s="8">
        <v>252.915243</v>
      </c>
      <c r="F39" s="8">
        <v>0.11</v>
      </c>
      <c r="G39">
        <v>23.9</v>
      </c>
      <c r="H39">
        <v>984.7</v>
      </c>
    </row>
    <row r="40" spans="1:8" x14ac:dyDescent="0.2">
      <c r="A40" s="5">
        <v>4</v>
      </c>
      <c r="B40" s="6" t="s">
        <v>17</v>
      </c>
      <c r="C40">
        <v>2</v>
      </c>
      <c r="D40" s="9" cm="1">
        <f t="array" ref="D40">(C40-1)*6 + VLOOKUP(Messwerte[[#This Row],[Halterung]]&amp;Messwerte[[#This Row],[Orientierung]],CHOOSE({1,2},Grundabstand[Halterung]&amp;Grundabstand[Orientierung],Grundabstand[Grundabstand]),2,0)+1</f>
        <v>12</v>
      </c>
      <c r="E40" s="8">
        <v>294.53224499999999</v>
      </c>
      <c r="F40" s="8">
        <v>0.11700000000000001</v>
      </c>
      <c r="G40">
        <v>23.9</v>
      </c>
      <c r="H40">
        <v>984.7</v>
      </c>
    </row>
    <row r="41" spans="1:8" x14ac:dyDescent="0.2">
      <c r="A41" s="5">
        <v>4</v>
      </c>
      <c r="B41" s="6" t="s">
        <v>17</v>
      </c>
      <c r="C41">
        <v>1</v>
      </c>
      <c r="D41" s="9" cm="1">
        <f t="array" ref="D41">(C41-1)*6 + VLOOKUP(Messwerte[[#This Row],[Halterung]]&amp;Messwerte[[#This Row],[Orientierung]],CHOOSE({1,2},Grundabstand[Halterung]&amp;Grundabstand[Orientierung],Grundabstand[Grundabstand]),2,0)+1</f>
        <v>6</v>
      </c>
      <c r="E41" s="8">
        <v>340.06554499999999</v>
      </c>
      <c r="F41" s="8">
        <v>0.129</v>
      </c>
      <c r="G41">
        <v>23.9</v>
      </c>
      <c r="H41">
        <v>984.7</v>
      </c>
    </row>
    <row r="42" spans="1:8" x14ac:dyDescent="0.2">
      <c r="A42" s="5">
        <v>5</v>
      </c>
      <c r="B42" s="6" t="s">
        <v>18</v>
      </c>
      <c r="C42">
        <v>4</v>
      </c>
      <c r="D42" s="9" cm="1">
        <f t="array" ref="D42">(C42-1)*6 + VLOOKUP(Messwerte[[#This Row],[Halterung]]&amp;Messwerte[[#This Row],[Orientierung]],CHOOSE({1,2},Grundabstand[Halterung]&amp;Grundabstand[Orientierung],Grundabstand[Grundabstand]),2,0)+1</f>
        <v>27.5</v>
      </c>
      <c r="E42" s="8">
        <v>198.39212900000001</v>
      </c>
      <c r="F42" s="8">
        <v>0.09</v>
      </c>
      <c r="G42">
        <v>23.9</v>
      </c>
      <c r="H42">
        <v>984.7</v>
      </c>
    </row>
    <row r="43" spans="1:8" x14ac:dyDescent="0.2">
      <c r="A43" s="5">
        <v>5</v>
      </c>
      <c r="B43" s="6" t="s">
        <v>18</v>
      </c>
      <c r="C43">
        <v>3</v>
      </c>
      <c r="D43" s="9" cm="1">
        <f t="array" ref="D43">(C43-1)*6 + VLOOKUP(Messwerte[[#This Row],[Halterung]]&amp;Messwerte[[#This Row],[Orientierung]],CHOOSE({1,2},Grundabstand[Halterung]&amp;Grundabstand[Orientierung],Grundabstand[Grundabstand]),2,0)+1</f>
        <v>21.5</v>
      </c>
      <c r="E43" s="8">
        <v>229.84652700000001</v>
      </c>
      <c r="F43" s="8">
        <v>0.11</v>
      </c>
      <c r="G43">
        <v>23.9</v>
      </c>
      <c r="H43">
        <v>984.7</v>
      </c>
    </row>
    <row r="44" spans="1:8" x14ac:dyDescent="0.2">
      <c r="A44" s="5">
        <v>5</v>
      </c>
      <c r="B44" s="6" t="s">
        <v>18</v>
      </c>
      <c r="C44">
        <v>2</v>
      </c>
      <c r="D44" s="9" cm="1">
        <f t="array" ref="D44">(C44-1)*6 + VLOOKUP(Messwerte[[#This Row],[Halterung]]&amp;Messwerte[[#This Row],[Orientierung]],CHOOSE({1,2},Grundabstand[Halterung]&amp;Grundabstand[Orientierung],Grundabstand[Grundabstand]),2,0)+1</f>
        <v>15.5</v>
      </c>
      <c r="E44" s="8">
        <v>267.991422</v>
      </c>
      <c r="F44" s="8">
        <v>0.109</v>
      </c>
      <c r="G44">
        <v>23.9</v>
      </c>
      <c r="H44">
        <v>984.7</v>
      </c>
    </row>
    <row r="45" spans="1:8" x14ac:dyDescent="0.2">
      <c r="A45" s="5">
        <v>5</v>
      </c>
      <c r="B45" s="6" t="s">
        <v>18</v>
      </c>
      <c r="C45">
        <v>1</v>
      </c>
      <c r="D45" s="9" cm="1">
        <f t="array" ref="D45">(C45-1)*6 + VLOOKUP(Messwerte[[#This Row],[Halterung]]&amp;Messwerte[[#This Row],[Orientierung]],CHOOSE({1,2},Grundabstand[Halterung]&amp;Grundabstand[Orientierung],Grundabstand[Grundabstand]),2,0)+1</f>
        <v>9.5</v>
      </c>
      <c r="E45" s="8">
        <v>311.776049</v>
      </c>
      <c r="F45" s="8">
        <v>0.107</v>
      </c>
      <c r="G45">
        <v>23.9</v>
      </c>
      <c r="H45">
        <v>984.7</v>
      </c>
    </row>
    <row r="46" spans="1:8" x14ac:dyDescent="0.2">
      <c r="A46" s="5">
        <v>5</v>
      </c>
      <c r="B46" s="6" t="s">
        <v>17</v>
      </c>
      <c r="C46">
        <v>4</v>
      </c>
      <c r="D46" s="9" cm="1">
        <f t="array" ref="D46">(C46-1)*6 + VLOOKUP(Messwerte[[#This Row],[Halterung]]&amp;Messwerte[[#This Row],[Orientierung]],CHOOSE({1,2},Grundabstand[Halterung]&amp;Grundabstand[Orientierung],Grundabstand[Grundabstand]),2,0)+1</f>
        <v>27</v>
      </c>
      <c r="E46" s="8">
        <v>200.36758699999999</v>
      </c>
      <c r="F46" s="8">
        <v>9.4700000000000006E-2</v>
      </c>
      <c r="G46">
        <v>23.9</v>
      </c>
      <c r="H46">
        <v>984.7</v>
      </c>
    </row>
    <row r="47" spans="1:8" x14ac:dyDescent="0.2">
      <c r="A47" s="5">
        <v>5</v>
      </c>
      <c r="B47" s="6" t="s">
        <v>17</v>
      </c>
      <c r="C47">
        <v>3</v>
      </c>
      <c r="D47" s="9" cm="1">
        <f t="array" ref="D47">(C47-1)*6 + VLOOKUP(Messwerte[[#This Row],[Halterung]]&amp;Messwerte[[#This Row],[Orientierung]],CHOOSE({1,2},Grundabstand[Halterung]&amp;Grundabstand[Orientierung],Grundabstand[Grundabstand]),2,0)+1</f>
        <v>21</v>
      </c>
      <c r="E47" s="8">
        <v>232.856247</v>
      </c>
      <c r="F47" s="8">
        <v>0.1</v>
      </c>
      <c r="G47">
        <v>23.9</v>
      </c>
      <c r="H47">
        <v>984.7</v>
      </c>
    </row>
    <row r="48" spans="1:8" x14ac:dyDescent="0.2">
      <c r="A48" s="5">
        <v>5</v>
      </c>
      <c r="B48" s="6" t="s">
        <v>17</v>
      </c>
      <c r="C48">
        <v>2</v>
      </c>
      <c r="D48" s="9" cm="1">
        <f t="array" ref="D48">(C48-1)*6 + VLOOKUP(Messwerte[[#This Row],[Halterung]]&amp;Messwerte[[#This Row],[Orientierung]],CHOOSE({1,2},Grundabstand[Halterung]&amp;Grundabstand[Orientierung],Grundabstand[Grundabstand]),2,0)+1</f>
        <v>15</v>
      </c>
      <c r="E48" s="8">
        <v>272.35334399999999</v>
      </c>
      <c r="F48" s="8">
        <v>9.5000000000000001E-2</v>
      </c>
      <c r="G48">
        <v>23.9</v>
      </c>
      <c r="H48">
        <v>984.7</v>
      </c>
    </row>
    <row r="49" spans="1:8" x14ac:dyDescent="0.2">
      <c r="A49" s="5">
        <v>5</v>
      </c>
      <c r="B49" s="6" t="s">
        <v>17</v>
      </c>
      <c r="C49">
        <v>1</v>
      </c>
      <c r="D49" s="9" cm="1">
        <f t="array" ref="D49">(C49-1)*6 + VLOOKUP(Messwerte[[#This Row],[Halterung]]&amp;Messwerte[[#This Row],[Orientierung]],CHOOSE({1,2},Grundabstand[Halterung]&amp;Grundabstand[Orientierung],Grundabstand[Grundabstand]),2,0)+1</f>
        <v>9</v>
      </c>
      <c r="E49" s="8">
        <v>315.96272099999999</v>
      </c>
      <c r="F49" s="8">
        <v>0.125</v>
      </c>
      <c r="G49">
        <v>23.9</v>
      </c>
      <c r="H49">
        <v>984.7</v>
      </c>
    </row>
    <row r="50" spans="1:8" x14ac:dyDescent="0.2">
      <c r="A50" s="5">
        <v>6</v>
      </c>
      <c r="B50" s="6" t="s">
        <v>18</v>
      </c>
      <c r="C50">
        <v>4</v>
      </c>
      <c r="D50" s="9" cm="1">
        <f t="array" ref="D50">(C50-1)*6 + VLOOKUP(Messwerte[[#This Row],[Halterung]]&amp;Messwerte[[#This Row],[Orientierung]],CHOOSE({1,2},Grundabstand[Halterung]&amp;Grundabstand[Orientierung],Grundabstand[Grundabstand]),2,0)+1</f>
        <v>28</v>
      </c>
      <c r="E50" s="8">
        <v>202.306209</v>
      </c>
      <c r="F50" s="8">
        <v>0.104</v>
      </c>
      <c r="G50">
        <v>23.9</v>
      </c>
      <c r="H50">
        <v>984.7</v>
      </c>
    </row>
    <row r="51" spans="1:8" x14ac:dyDescent="0.2">
      <c r="A51" s="5">
        <v>6</v>
      </c>
      <c r="B51" s="6" t="s">
        <v>18</v>
      </c>
      <c r="C51">
        <v>3</v>
      </c>
      <c r="D51" s="9" cm="1">
        <f t="array" ref="D51">(C51-1)*6 + VLOOKUP(Messwerte[[#This Row],[Halterung]]&amp;Messwerte[[#This Row],[Orientierung]],CHOOSE({1,2},Grundabstand[Halterung]&amp;Grundabstand[Orientierung],Grundabstand[Grundabstand]),2,0)+1</f>
        <v>22</v>
      </c>
      <c r="E51" s="8">
        <v>222.464527</v>
      </c>
      <c r="F51" s="8">
        <v>0.10199999999999999</v>
      </c>
      <c r="G51">
        <v>23.9</v>
      </c>
      <c r="H51">
        <v>984.7</v>
      </c>
    </row>
    <row r="52" spans="1:8" x14ac:dyDescent="0.2">
      <c r="A52" s="5">
        <v>6</v>
      </c>
      <c r="B52" s="6" t="s">
        <v>18</v>
      </c>
      <c r="C52">
        <v>2</v>
      </c>
      <c r="D52" s="9" cm="1">
        <f t="array" ref="D52">(C52-1)*6 + VLOOKUP(Messwerte[[#This Row],[Halterung]]&amp;Messwerte[[#This Row],[Orientierung]],CHOOSE({1,2},Grundabstand[Halterung]&amp;Grundabstand[Orientierung],Grundabstand[Grundabstand]),2,0)+1</f>
        <v>16</v>
      </c>
      <c r="E52" s="8">
        <v>261.79412200000002</v>
      </c>
      <c r="F52" s="8">
        <v>9.9500000000000005E-2</v>
      </c>
      <c r="G52">
        <v>23.9</v>
      </c>
      <c r="H52">
        <v>984.7</v>
      </c>
    </row>
    <row r="53" spans="1:8" x14ac:dyDescent="0.2">
      <c r="A53" s="5">
        <v>6</v>
      </c>
      <c r="B53" s="6" t="s">
        <v>18</v>
      </c>
      <c r="C53">
        <v>1</v>
      </c>
      <c r="D53" s="9" cm="1">
        <f t="array" ref="D53">(C53-1)*6 + VLOOKUP(Messwerte[[#This Row],[Halterung]]&amp;Messwerte[[#This Row],[Orientierung]],CHOOSE({1,2},Grundabstand[Halterung]&amp;Grundabstand[Orientierung],Grundabstand[Grundabstand]),2,0)+1</f>
        <v>10</v>
      </c>
      <c r="E53" s="8">
        <v>308.66064399999999</v>
      </c>
      <c r="F53" s="8">
        <v>0.105</v>
      </c>
      <c r="G53">
        <v>23.9</v>
      </c>
      <c r="H53">
        <v>984.7</v>
      </c>
    </row>
    <row r="54" spans="1:8" x14ac:dyDescent="0.2">
      <c r="A54" s="5">
        <v>6</v>
      </c>
      <c r="B54" s="6" t="s">
        <v>17</v>
      </c>
      <c r="C54">
        <v>4</v>
      </c>
      <c r="D54" s="9" cm="1">
        <f t="array" ref="D54">(C54-1)*6 + VLOOKUP(Messwerte[[#This Row],[Halterung]]&amp;Messwerte[[#This Row],[Orientierung]],CHOOSE({1,2},Grundabstand[Halterung]&amp;Grundabstand[Orientierung],Grundabstand[Grundabstand]),2,0)+1</f>
        <v>26.5</v>
      </c>
      <c r="E54" s="8">
        <v>208.40082100000001</v>
      </c>
      <c r="F54" s="8">
        <v>0.08</v>
      </c>
      <c r="G54">
        <v>23.9</v>
      </c>
      <c r="H54">
        <v>984.7</v>
      </c>
    </row>
    <row r="55" spans="1:8" x14ac:dyDescent="0.2">
      <c r="A55" s="5">
        <v>6</v>
      </c>
      <c r="B55" s="6" t="s">
        <v>17</v>
      </c>
      <c r="C55">
        <v>3</v>
      </c>
      <c r="D55" s="9" cm="1">
        <f t="array" ref="D55">(C55-1)*6 + VLOOKUP(Messwerte[[#This Row],[Halterung]]&amp;Messwerte[[#This Row],[Orientierung]],CHOOSE({1,2},Grundabstand[Halterung]&amp;Grundabstand[Orientierung],Grundabstand[Grundabstand]),2,0)+1</f>
        <v>20.5</v>
      </c>
      <c r="E55" s="8">
        <v>233.20669100000001</v>
      </c>
      <c r="F55" s="8">
        <v>0.104</v>
      </c>
      <c r="G55">
        <v>23.9</v>
      </c>
      <c r="H55">
        <v>984.7</v>
      </c>
    </row>
    <row r="56" spans="1:8" x14ac:dyDescent="0.2">
      <c r="A56" s="5">
        <v>6</v>
      </c>
      <c r="B56" s="6" t="s">
        <v>17</v>
      </c>
      <c r="C56">
        <v>2</v>
      </c>
      <c r="D56" s="9" cm="1">
        <f t="array" ref="D56">(C56-1)*6 + VLOOKUP(Messwerte[[#This Row],[Halterung]]&amp;Messwerte[[#This Row],[Orientierung]],CHOOSE({1,2},Grundabstand[Halterung]&amp;Grundabstand[Orientierung],Grundabstand[Grundabstand]),2,0)+1</f>
        <v>14.5</v>
      </c>
      <c r="E56" s="8">
        <v>273.85139900000001</v>
      </c>
      <c r="F56" s="8">
        <v>0.114</v>
      </c>
      <c r="G56">
        <v>23.9</v>
      </c>
      <c r="H56">
        <v>984.7</v>
      </c>
    </row>
    <row r="57" spans="1:8" x14ac:dyDescent="0.2">
      <c r="A57" s="5">
        <v>6</v>
      </c>
      <c r="B57" s="6" t="s">
        <v>17</v>
      </c>
      <c r="C57">
        <v>1</v>
      </c>
      <c r="D57" s="9" cm="1">
        <f t="array" ref="D57">(C57-1)*6 + VLOOKUP(Messwerte[[#This Row],[Halterung]]&amp;Messwerte[[#This Row],[Orientierung]],CHOOSE({1,2},Grundabstand[Halterung]&amp;Grundabstand[Orientierung],Grundabstand[Grundabstand]),2,0)+1</f>
        <v>8.5</v>
      </c>
      <c r="E57" s="8">
        <v>320.019612</v>
      </c>
      <c r="F57" s="8">
        <v>0.114</v>
      </c>
      <c r="G57">
        <v>23.9</v>
      </c>
      <c r="H57">
        <v>984.7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Grunddaten</vt:lpstr>
      <vt:lpstr>Grundabstand</vt:lpstr>
      <vt:lpstr>Messwerte</vt:lpstr>
      <vt:lpstr>Messwerte_Diagramm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Henning Manke</dc:creator>
  <cp:keywords/>
  <cp:lastModifiedBy>Henning Manke</cp:lastModifiedBy>
  <dcterms:created xsi:type="dcterms:W3CDTF">2021-07-21T14:15:39Z</dcterms:created>
  <dcterms:modified xsi:type="dcterms:W3CDTF">2022-10-24T09:02:41Z</dcterms:modified>
</cp:coreProperties>
</file>