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100kV/PWLR/vorne/"/>
    </mc:Choice>
  </mc:AlternateContent>
  <xr:revisionPtr revIDLastSave="0" documentId="13_ncr:1_{5E1F66C7-7777-424E-9137-FC3CC85FA348}" xr6:coauthVersionLast="47" xr6:coauthVersionMax="47" xr10:uidLastSave="{00000000-0000-0000-0000-000000000000}"/>
  <bookViews>
    <workbookView xWindow="280" yWindow="500" windowWidth="29480" windowHeight="22240" xr2:uid="{B0E11E21-0F3D-8547-AB51-6C169E1D959C}"/>
  </bookViews>
  <sheets>
    <sheet name="Grunddaten" sheetId="1" r:id="rId1"/>
    <sheet name="Grundabstand" sheetId="2" r:id="rId2"/>
    <sheet name="Messwerte" sheetId="3" r:id="rId3"/>
    <sheet name="Messwerte_Diagramm" sheetId="7" r:id="rId4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 a="1"/>
  <c r="D2" i="3" s="1"/>
  <c r="D3" i="3" a="1"/>
  <c r="D3" i="3" s="1"/>
  <c r="D4" i="3" a="1"/>
  <c r="D4" i="3"/>
  <c r="D5" i="3" a="1"/>
  <c r="D5" i="3"/>
  <c r="D6" i="3" a="1"/>
  <c r="D6" i="3" s="1"/>
  <c r="D7" i="3" a="1"/>
  <c r="D7" i="3" s="1"/>
  <c r="D8" i="3" a="1"/>
  <c r="D8" i="3"/>
  <c r="D9" i="3" a="1"/>
  <c r="D9" i="3"/>
  <c r="D10" i="3" a="1"/>
  <c r="D10" i="3" s="1"/>
  <c r="D11" i="3" a="1"/>
  <c r="D11" i="3" s="1"/>
  <c r="D12" i="3" a="1"/>
  <c r="D12" i="3"/>
  <c r="D13" i="3" a="1"/>
  <c r="D13" i="3"/>
  <c r="D14" i="3" a="1"/>
  <c r="D14" i="3" s="1"/>
  <c r="D15" i="3" a="1"/>
  <c r="D15" i="3" s="1"/>
  <c r="D16" i="3" a="1"/>
  <c r="D16" i="3"/>
  <c r="D17" i="3" a="1"/>
  <c r="D17" i="3"/>
  <c r="D18" i="3" a="1"/>
  <c r="D18" i="3" s="1"/>
  <c r="D19" i="3" a="1"/>
  <c r="D19" i="3" s="1"/>
  <c r="D20" i="3" a="1"/>
  <c r="D20" i="3"/>
  <c r="D21" i="3" a="1"/>
  <c r="D21" i="3"/>
  <c r="D22" i="3" a="1"/>
  <c r="D22" i="3" s="1"/>
  <c r="D23" i="3" a="1"/>
  <c r="D23" i="3" s="1"/>
  <c r="D24" i="3" a="1"/>
  <c r="D24" i="3"/>
  <c r="D25" i="3" a="1"/>
  <c r="D25" i="3"/>
  <c r="D26" i="3" a="1"/>
  <c r="D26" i="3" s="1"/>
  <c r="D27" i="3" a="1"/>
  <c r="D27" i="3" s="1"/>
  <c r="D28" i="3" a="1"/>
  <c r="D28" i="3"/>
  <c r="D29" i="3" a="1"/>
  <c r="D29" i="3"/>
  <c r="D30" i="3" a="1"/>
  <c r="D30" i="3" s="1"/>
  <c r="D31" i="3" a="1"/>
  <c r="D31" i="3" s="1"/>
  <c r="D32" i="3" a="1"/>
  <c r="D32" i="3"/>
  <c r="D33" i="3" a="1"/>
  <c r="D33" i="3"/>
  <c r="D34" i="3" a="1"/>
  <c r="D34" i="3" s="1"/>
  <c r="D35" i="3" a="1"/>
  <c r="D35" i="3" s="1"/>
  <c r="D36" i="3" a="1"/>
  <c r="D36" i="3"/>
  <c r="D37" i="3" a="1"/>
  <c r="D37" i="3"/>
  <c r="D38" i="3" a="1"/>
  <c r="D38" i="3" s="1"/>
  <c r="D39" i="3" a="1"/>
  <c r="D39" i="3" s="1"/>
  <c r="D40" i="3" a="1"/>
  <c r="D40" i="3"/>
  <c r="D41" i="3" a="1"/>
  <c r="D41" i="3"/>
  <c r="D42" i="3" a="1"/>
  <c r="D42" i="3" s="1"/>
  <c r="D43" i="3" a="1"/>
  <c r="D43" i="3" s="1"/>
  <c r="D44" i="3" a="1"/>
  <c r="D44" i="3"/>
  <c r="D45" i="3" a="1"/>
  <c r="D45" i="3"/>
  <c r="D46" i="3" a="1"/>
  <c r="D46" i="3" s="1"/>
  <c r="D47" i="3" a="1"/>
  <c r="D47" i="3" s="1"/>
  <c r="D48" i="3" a="1"/>
  <c r="D48" i="3"/>
  <c r="D49" i="3" a="1"/>
  <c r="D49" i="3"/>
  <c r="D50" i="3" a="1"/>
  <c r="D50" i="3" s="1"/>
  <c r="D51" i="3" a="1"/>
  <c r="D51" i="3" s="1"/>
  <c r="D52" i="3" a="1"/>
  <c r="D52" i="3" s="1"/>
  <c r="D53" i="3" a="1"/>
  <c r="D53" i="3" s="1"/>
  <c r="D54" i="3" a="1"/>
  <c r="D54" i="3" s="1"/>
  <c r="D55" i="3" a="1"/>
  <c r="D55" i="3" s="1"/>
  <c r="D56" i="3" a="1"/>
  <c r="D56" i="3" s="1"/>
  <c r="D57" i="3" a="1"/>
  <c r="D57" i="3" s="1"/>
  <c r="B24" i="1"/>
  <c r="B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<sst xmlns="http://schemas.openxmlformats.org/spreadsheetml/2006/main" count="109" uniqueCount="41">
  <si>
    <t>Datum</t>
  </si>
  <si>
    <t>Detektor</t>
  </si>
  <si>
    <t>Strahlungsquelle</t>
  </si>
  <si>
    <t>Halterung</t>
  </si>
  <si>
    <t>Szintillationsdetektor</t>
  </si>
  <si>
    <t>Messzeit / s</t>
  </si>
  <si>
    <t>Einzelmessungen</t>
  </si>
  <si>
    <t>Einstellungen Detektor</t>
  </si>
  <si>
    <t>Orientierung</t>
  </si>
  <si>
    <t>Messpunkt</t>
  </si>
  <si>
    <t>Abstand / mm</t>
  </si>
  <si>
    <t>SVERWEIS Tabelle für Grundabstand</t>
  </si>
  <si>
    <t>Strom / nA</t>
  </si>
  <si>
    <t>Grundabstand</t>
  </si>
  <si>
    <t>Unsicherheiten</t>
  </si>
  <si>
    <t>systematische Unsicherheit / %</t>
  </si>
  <si>
    <t>Unsicherheit / nA</t>
  </si>
  <si>
    <t>K</t>
  </si>
  <si>
    <t>L</t>
  </si>
  <si>
    <t>Feldgröße - Applikatordurchmesser / mm</t>
  </si>
  <si>
    <t>Der Grundabstand ist die Summe des Bohrradius (2,75 mm) und des Abstands zwischen dem 1. Loch und der Außenkante</t>
  </si>
  <si>
    <t>Grenzfehler / %</t>
  </si>
  <si>
    <t>d2 / 15</t>
  </si>
  <si>
    <t>Temperatur / °C</t>
  </si>
  <si>
    <t>Luftdruck</t>
  </si>
  <si>
    <t>Strom / mA</t>
  </si>
  <si>
    <t>Strom_C / nA</t>
  </si>
  <si>
    <t>Unsicherheit_C / nA</t>
  </si>
  <si>
    <t>Spannung_PM / V</t>
  </si>
  <si>
    <t>Dunkelstrom / nA</t>
  </si>
  <si>
    <t>Dunkelstrom_Fehler / nA</t>
  </si>
  <si>
    <t>Röhrennummer</t>
  </si>
  <si>
    <t>Strahlspannung</t>
  </si>
  <si>
    <t>Filtermaterial</t>
  </si>
  <si>
    <t>Filterdicke</t>
  </si>
  <si>
    <t>Einstrahlrichtung</t>
  </si>
  <si>
    <t>CCB</t>
  </si>
  <si>
    <t>PWLR</t>
  </si>
  <si>
    <t>ID</t>
  </si>
  <si>
    <t>vorne</t>
  </si>
  <si>
    <t>32.5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</si>
</sst>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12"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Strom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Messwerte!$F$2:$F$57</c:f>
                <c:numCache>
                  <c:formatCode>General</c:formatCode>
                  <c:ptCount val="56"/>
                  <c:pt idx="0">
                    <c:v>6.4000000000000001E-2</c:v>
                  </c:pt>
                  <c:pt idx="1">
                    <c:v>6.5699999999999995E-2</c:v>
                  </c:pt>
                  <c:pt idx="2">
                    <c:v>7.22E-2</c:v>
                  </c:pt>
                  <c:pt idx="3">
                    <c:v>8.4400000000000003E-2</c:v>
                  </c:pt>
                  <c:pt idx="4">
                    <c:v>8.7400000000000005E-2</c:v>
                  </c:pt>
                  <c:pt idx="5">
                    <c:v>6.54E-2</c:v>
                  </c:pt>
                  <c:pt idx="6">
                    <c:v>6.9500000000000006E-2</c:v>
                  </c:pt>
                  <c:pt idx="7">
                    <c:v>8.4000000000000005E-2</c:v>
                  </c:pt>
                  <c:pt idx="8">
                    <c:v>9.2600000000000002E-2</c:v>
                  </c:pt>
                  <c:pt idx="9">
                    <c:v>8.8700000000000001E-2</c:v>
                  </c:pt>
                  <c:pt idx="10">
                    <c:v>5.8599999999999999E-2</c:v>
                  </c:pt>
                  <c:pt idx="11">
                    <c:v>6.59E-2</c:v>
                  </c:pt>
                  <c:pt idx="12">
                    <c:v>7.2700000000000001E-2</c:v>
                  </c:pt>
                  <c:pt idx="13">
                    <c:v>8.0100000000000005E-2</c:v>
                  </c:pt>
                  <c:pt idx="14">
                    <c:v>9.0999999999999998E-2</c:v>
                  </c:pt>
                  <c:pt idx="15">
                    <c:v>6.2700000000000006E-2</c:v>
                  </c:pt>
                  <c:pt idx="16">
                    <c:v>7.0699999999999999E-2</c:v>
                  </c:pt>
                  <c:pt idx="17">
                    <c:v>8.5300000000000001E-2</c:v>
                  </c:pt>
                  <c:pt idx="18">
                    <c:v>7.5200000000000003E-2</c:v>
                  </c:pt>
                  <c:pt idx="19">
                    <c:v>8.0100000000000005E-2</c:v>
                  </c:pt>
                  <c:pt idx="20">
                    <c:v>6.6199999999999995E-2</c:v>
                  </c:pt>
                  <c:pt idx="21">
                    <c:v>7.0800000000000002E-2</c:v>
                  </c:pt>
                  <c:pt idx="22">
                    <c:v>7.1999999999999995E-2</c:v>
                  </c:pt>
                  <c:pt idx="23">
                    <c:v>8.4900000000000003E-2</c:v>
                  </c:pt>
                  <c:pt idx="24">
                    <c:v>8.5300000000000001E-2</c:v>
                  </c:pt>
                  <c:pt idx="25">
                    <c:v>5.3199999999999997E-2</c:v>
                  </c:pt>
                  <c:pt idx="26">
                    <c:v>8.1500000000000003E-2</c:v>
                  </c:pt>
                  <c:pt idx="27">
                    <c:v>7.3700000000000002E-2</c:v>
                  </c:pt>
                  <c:pt idx="28">
                    <c:v>7.6399999999999996E-2</c:v>
                  </c:pt>
                  <c:pt idx="29">
                    <c:v>0.1</c:v>
                  </c:pt>
                  <c:pt idx="30">
                    <c:v>5.96E-2</c:v>
                  </c:pt>
                  <c:pt idx="31">
                    <c:v>6.3700000000000007E-2</c:v>
                  </c:pt>
                  <c:pt idx="32">
                    <c:v>8.09E-2</c:v>
                  </c:pt>
                  <c:pt idx="33">
                    <c:v>7.9899999999999999E-2</c:v>
                  </c:pt>
                  <c:pt idx="34">
                    <c:v>9.2700000000000005E-2</c:v>
                  </c:pt>
                  <c:pt idx="35">
                    <c:v>6.7599999999999993E-2</c:v>
                  </c:pt>
                  <c:pt idx="36">
                    <c:v>6.5500000000000003E-2</c:v>
                  </c:pt>
                  <c:pt idx="37">
                    <c:v>8.43E-2</c:v>
                  </c:pt>
                  <c:pt idx="38">
                    <c:v>9.3600000000000003E-2</c:v>
                  </c:pt>
                  <c:pt idx="39">
                    <c:v>9.0200000000000002E-2</c:v>
                  </c:pt>
                  <c:pt idx="40">
                    <c:v>6.0100000000000001E-2</c:v>
                  </c:pt>
                  <c:pt idx="41">
                    <c:v>6.0499999999999998E-2</c:v>
                  </c:pt>
                  <c:pt idx="42">
                    <c:v>7.2400000000000006E-2</c:v>
                  </c:pt>
                  <c:pt idx="43">
                    <c:v>7.6799999999999993E-2</c:v>
                  </c:pt>
                  <c:pt idx="44">
                    <c:v>6.9400000000000003E-2</c:v>
                  </c:pt>
                  <c:pt idx="45">
                    <c:v>7.4499999999999997E-2</c:v>
                  </c:pt>
                  <c:pt idx="46">
                    <c:v>8.5699999999999998E-2</c:v>
                  </c:pt>
                  <c:pt idx="47">
                    <c:v>9.5600000000000004E-2</c:v>
                  </c:pt>
                  <c:pt idx="48">
                    <c:v>6.4500000000000002E-2</c:v>
                  </c:pt>
                  <c:pt idx="49">
                    <c:v>7.4200000000000002E-2</c:v>
                  </c:pt>
                  <c:pt idx="50">
                    <c:v>8.2600000000000007E-2</c:v>
                  </c:pt>
                  <c:pt idx="51">
                    <c:v>8.0100000000000005E-2</c:v>
                  </c:pt>
                  <c:pt idx="52">
                    <c:v>6.13E-2</c:v>
                  </c:pt>
                  <c:pt idx="53">
                    <c:v>7.1900000000000006E-2</c:v>
                  </c:pt>
                  <c:pt idx="54">
                    <c:v>8.0600000000000005E-2</c:v>
                  </c:pt>
                  <c:pt idx="55">
                    <c:v>9.4299999999999995E-2</c:v>
                  </c:pt>
                </c:numCache>
              </c:numRef>
            </c:plus>
            <c:minus>
              <c:numRef>
                <c:f>Messwerte!$F$2:$F$57</c:f>
                <c:numCache>
                  <c:formatCode>General</c:formatCode>
                  <c:ptCount val="56"/>
                  <c:pt idx="0">
                    <c:v>6.4000000000000001E-2</c:v>
                  </c:pt>
                  <c:pt idx="1">
                    <c:v>6.5699999999999995E-2</c:v>
                  </c:pt>
                  <c:pt idx="2">
                    <c:v>7.22E-2</c:v>
                  </c:pt>
                  <c:pt idx="3">
                    <c:v>8.4400000000000003E-2</c:v>
                  </c:pt>
                  <c:pt idx="4">
                    <c:v>8.7400000000000005E-2</c:v>
                  </c:pt>
                  <c:pt idx="5">
                    <c:v>6.54E-2</c:v>
                  </c:pt>
                  <c:pt idx="6">
                    <c:v>6.9500000000000006E-2</c:v>
                  </c:pt>
                  <c:pt idx="7">
                    <c:v>8.4000000000000005E-2</c:v>
                  </c:pt>
                  <c:pt idx="8">
                    <c:v>9.2600000000000002E-2</c:v>
                  </c:pt>
                  <c:pt idx="9">
                    <c:v>8.8700000000000001E-2</c:v>
                  </c:pt>
                  <c:pt idx="10">
                    <c:v>5.8599999999999999E-2</c:v>
                  </c:pt>
                  <c:pt idx="11">
                    <c:v>6.59E-2</c:v>
                  </c:pt>
                  <c:pt idx="12">
                    <c:v>7.2700000000000001E-2</c:v>
                  </c:pt>
                  <c:pt idx="13">
                    <c:v>8.0100000000000005E-2</c:v>
                  </c:pt>
                  <c:pt idx="14">
                    <c:v>9.0999999999999998E-2</c:v>
                  </c:pt>
                  <c:pt idx="15">
                    <c:v>6.2700000000000006E-2</c:v>
                  </c:pt>
                  <c:pt idx="16">
                    <c:v>7.0699999999999999E-2</c:v>
                  </c:pt>
                  <c:pt idx="17">
                    <c:v>8.5300000000000001E-2</c:v>
                  </c:pt>
                  <c:pt idx="18">
                    <c:v>7.5200000000000003E-2</c:v>
                  </c:pt>
                  <c:pt idx="19">
                    <c:v>8.0100000000000005E-2</c:v>
                  </c:pt>
                  <c:pt idx="20">
                    <c:v>6.6199999999999995E-2</c:v>
                  </c:pt>
                  <c:pt idx="21">
                    <c:v>7.0800000000000002E-2</c:v>
                  </c:pt>
                  <c:pt idx="22">
                    <c:v>7.1999999999999995E-2</c:v>
                  </c:pt>
                  <c:pt idx="23">
                    <c:v>8.4900000000000003E-2</c:v>
                  </c:pt>
                  <c:pt idx="24">
                    <c:v>8.5300000000000001E-2</c:v>
                  </c:pt>
                  <c:pt idx="25">
                    <c:v>5.3199999999999997E-2</c:v>
                  </c:pt>
                  <c:pt idx="26">
                    <c:v>8.1500000000000003E-2</c:v>
                  </c:pt>
                  <c:pt idx="27">
                    <c:v>7.3700000000000002E-2</c:v>
                  </c:pt>
                  <c:pt idx="28">
                    <c:v>7.6399999999999996E-2</c:v>
                  </c:pt>
                  <c:pt idx="29">
                    <c:v>0.1</c:v>
                  </c:pt>
                  <c:pt idx="30">
                    <c:v>5.96E-2</c:v>
                  </c:pt>
                  <c:pt idx="31">
                    <c:v>6.3700000000000007E-2</c:v>
                  </c:pt>
                  <c:pt idx="32">
                    <c:v>8.09E-2</c:v>
                  </c:pt>
                  <c:pt idx="33">
                    <c:v>7.9899999999999999E-2</c:v>
                  </c:pt>
                  <c:pt idx="34">
                    <c:v>9.2700000000000005E-2</c:v>
                  </c:pt>
                  <c:pt idx="35">
                    <c:v>6.7599999999999993E-2</c:v>
                  </c:pt>
                  <c:pt idx="36">
                    <c:v>6.5500000000000003E-2</c:v>
                  </c:pt>
                  <c:pt idx="37">
                    <c:v>8.43E-2</c:v>
                  </c:pt>
                  <c:pt idx="38">
                    <c:v>9.3600000000000003E-2</c:v>
                  </c:pt>
                  <c:pt idx="39">
                    <c:v>9.0200000000000002E-2</c:v>
                  </c:pt>
                  <c:pt idx="40">
                    <c:v>6.0100000000000001E-2</c:v>
                  </c:pt>
                  <c:pt idx="41">
                    <c:v>6.0499999999999998E-2</c:v>
                  </c:pt>
                  <c:pt idx="42">
                    <c:v>7.2400000000000006E-2</c:v>
                  </c:pt>
                  <c:pt idx="43">
                    <c:v>7.6799999999999993E-2</c:v>
                  </c:pt>
                  <c:pt idx="44">
                    <c:v>6.9400000000000003E-2</c:v>
                  </c:pt>
                  <c:pt idx="45">
                    <c:v>7.4499999999999997E-2</c:v>
                  </c:pt>
                  <c:pt idx="46">
                    <c:v>8.5699999999999998E-2</c:v>
                  </c:pt>
                  <c:pt idx="47">
                    <c:v>9.5600000000000004E-2</c:v>
                  </c:pt>
                  <c:pt idx="48">
                    <c:v>6.4500000000000002E-2</c:v>
                  </c:pt>
                  <c:pt idx="49">
                    <c:v>7.4200000000000002E-2</c:v>
                  </c:pt>
                  <c:pt idx="50">
                    <c:v>8.2600000000000007E-2</c:v>
                  </c:pt>
                  <c:pt idx="51">
                    <c:v>8.0100000000000005E-2</c:v>
                  </c:pt>
                  <c:pt idx="52">
                    <c:v>6.13E-2</c:v>
                  </c:pt>
                  <c:pt idx="53">
                    <c:v>7.1900000000000006E-2</c:v>
                  </c:pt>
                  <c:pt idx="54">
                    <c:v>8.0600000000000005E-2</c:v>
                  </c:pt>
                  <c:pt idx="55">
                    <c:v>9.4299999999999995E-2</c:v>
                  </c:pt>
                </c:numCache>
              </c:numRef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Messwerte!$D$2:$D$57</c:f>
              <c:numCache>
                <c:formatCode>0.0</c:formatCode>
                <c:ptCount val="56"/>
                <c:pt idx="0">
                  <c:v>56.5</c:v>
                </c:pt>
                <c:pt idx="1">
                  <c:v>50.5</c:v>
                </c:pt>
                <c:pt idx="2">
                  <c:v>44.5</c:v>
                </c:pt>
                <c:pt idx="3">
                  <c:v>38.5</c:v>
                </c:pt>
                <c:pt idx="4">
                  <c:v>32.5</c:v>
                </c:pt>
                <c:pt idx="5">
                  <c:v>53</c:v>
                </c:pt>
                <c:pt idx="6">
                  <c:v>47</c:v>
                </c:pt>
                <c:pt idx="7">
                  <c:v>41</c:v>
                </c:pt>
                <c:pt idx="8">
                  <c:v>35</c:v>
                </c:pt>
                <c:pt idx="9">
                  <c:v>29</c:v>
                </c:pt>
                <c:pt idx="10">
                  <c:v>56</c:v>
                </c:pt>
                <c:pt idx="11">
                  <c:v>50</c:v>
                </c:pt>
                <c:pt idx="12">
                  <c:v>44</c:v>
                </c:pt>
                <c:pt idx="13">
                  <c:v>38</c:v>
                </c:pt>
                <c:pt idx="14">
                  <c:v>32</c:v>
                </c:pt>
                <c:pt idx="15">
                  <c:v>53.5</c:v>
                </c:pt>
                <c:pt idx="16">
                  <c:v>47.5</c:v>
                </c:pt>
                <c:pt idx="17">
                  <c:v>41.5</c:v>
                </c:pt>
                <c:pt idx="18">
                  <c:v>35.5</c:v>
                </c:pt>
                <c:pt idx="19">
                  <c:v>29.5</c:v>
                </c:pt>
                <c:pt idx="20">
                  <c:v>55.5</c:v>
                </c:pt>
                <c:pt idx="21">
                  <c:v>49.5</c:v>
                </c:pt>
                <c:pt idx="22">
                  <c:v>43.5</c:v>
                </c:pt>
                <c:pt idx="23">
                  <c:v>37.5</c:v>
                </c:pt>
                <c:pt idx="24">
                  <c:v>31.5</c:v>
                </c:pt>
                <c:pt idx="25">
                  <c:v>54</c:v>
                </c:pt>
                <c:pt idx="26">
                  <c:v>48</c:v>
                </c:pt>
                <c:pt idx="27">
                  <c:v>42</c:v>
                </c:pt>
                <c:pt idx="28">
                  <c:v>36</c:v>
                </c:pt>
                <c:pt idx="29">
                  <c:v>30</c:v>
                </c:pt>
                <c:pt idx="30">
                  <c:v>55</c:v>
                </c:pt>
                <c:pt idx="31">
                  <c:v>49</c:v>
                </c:pt>
                <c:pt idx="32">
                  <c:v>43</c:v>
                </c:pt>
                <c:pt idx="33">
                  <c:v>37</c:v>
                </c:pt>
                <c:pt idx="34">
                  <c:v>31</c:v>
                </c:pt>
                <c:pt idx="35">
                  <c:v>54.5</c:v>
                </c:pt>
                <c:pt idx="36">
                  <c:v>48.5</c:v>
                </c:pt>
                <c:pt idx="37">
                  <c:v>42.5</c:v>
                </c:pt>
                <c:pt idx="38">
                  <c:v>36.5</c:v>
                </c:pt>
                <c:pt idx="39">
                  <c:v>30.5</c:v>
                </c:pt>
                <c:pt idx="40">
                  <c:v>52</c:v>
                </c:pt>
                <c:pt idx="41">
                  <c:v>46</c:v>
                </c:pt>
                <c:pt idx="42">
                  <c:v>40</c:v>
                </c:pt>
                <c:pt idx="43">
                  <c:v>34</c:v>
                </c:pt>
                <c:pt idx="44">
                  <c:v>51.5</c:v>
                </c:pt>
                <c:pt idx="45">
                  <c:v>45.5</c:v>
                </c:pt>
                <c:pt idx="46">
                  <c:v>39.5</c:v>
                </c:pt>
                <c:pt idx="47">
                  <c:v>33.5</c:v>
                </c:pt>
                <c:pt idx="48">
                  <c:v>52.5</c:v>
                </c:pt>
                <c:pt idx="49">
                  <c:v>46.5</c:v>
                </c:pt>
                <c:pt idx="50">
                  <c:v>40.5</c:v>
                </c:pt>
                <c:pt idx="51">
                  <c:v>34.5</c:v>
                </c:pt>
                <c:pt idx="52">
                  <c:v>51</c:v>
                </c:pt>
                <c:pt idx="53">
                  <c:v>45</c:v>
                </c:pt>
                <c:pt idx="54">
                  <c:v>39</c:v>
                </c:pt>
                <c:pt idx="55">
                  <c:v>33</c:v>
                </c:pt>
              </c:numCache>
            </c:numRef>
          </c:xVal>
          <c:yVal>
            <c:numRef>
              <c:f>Messwerte!$E$2:$E$57</c:f>
              <c:numCache>
                <c:formatCode>0.00</c:formatCode>
                <c:ptCount val="56"/>
                <c:pt idx="0">
                  <c:v>89.481245000000001</c:v>
                </c:pt>
                <c:pt idx="1">
                  <c:v>105.24783100000001</c:v>
                </c:pt>
                <c:pt idx="2">
                  <c:v>126.67948</c:v>
                </c:pt>
                <c:pt idx="3">
                  <c:v>150.01414700000001</c:v>
                </c:pt>
                <c:pt idx="4">
                  <c:v>177.202068</c:v>
                </c:pt>
                <c:pt idx="5">
                  <c:v>97.720724000000004</c:v>
                </c:pt>
                <c:pt idx="6">
                  <c:v>121.496883</c:v>
                </c:pt>
                <c:pt idx="7">
                  <c:v>144.34146699999999</c:v>
                </c:pt>
                <c:pt idx="8">
                  <c:v>165.993211</c:v>
                </c:pt>
                <c:pt idx="9">
                  <c:v>196.80508499999999</c:v>
                </c:pt>
                <c:pt idx="10">
                  <c:v>89.180144999999996</c:v>
                </c:pt>
                <c:pt idx="11">
                  <c:v>108.222459</c:v>
                </c:pt>
                <c:pt idx="12">
                  <c:v>128.975617</c:v>
                </c:pt>
                <c:pt idx="13">
                  <c:v>152.731562</c:v>
                </c:pt>
                <c:pt idx="14">
                  <c:v>180.649978</c:v>
                </c:pt>
                <c:pt idx="15">
                  <c:v>97.288464000000005</c:v>
                </c:pt>
                <c:pt idx="16">
                  <c:v>117.11288500000001</c:v>
                </c:pt>
                <c:pt idx="17">
                  <c:v>138.96725799999999</c:v>
                </c:pt>
                <c:pt idx="18">
                  <c:v>164.47445400000001</c:v>
                </c:pt>
                <c:pt idx="19">
                  <c:v>194.08243400000001</c:v>
                </c:pt>
                <c:pt idx="20">
                  <c:v>90.938475999999994</c:v>
                </c:pt>
                <c:pt idx="21">
                  <c:v>109.40112999999999</c:v>
                </c:pt>
                <c:pt idx="22">
                  <c:v>131.05547999999999</c:v>
                </c:pt>
                <c:pt idx="23">
                  <c:v>155.135549</c:v>
                </c:pt>
                <c:pt idx="24">
                  <c:v>182.92486500000001</c:v>
                </c:pt>
                <c:pt idx="25">
                  <c:v>94.040262999999996</c:v>
                </c:pt>
                <c:pt idx="26">
                  <c:v>114.877726</c:v>
                </c:pt>
                <c:pt idx="27">
                  <c:v>136.450568</c:v>
                </c:pt>
                <c:pt idx="28">
                  <c:v>161.843253</c:v>
                </c:pt>
                <c:pt idx="29">
                  <c:v>190.807222</c:v>
                </c:pt>
                <c:pt idx="30">
                  <c:v>92.527242999999999</c:v>
                </c:pt>
                <c:pt idx="31">
                  <c:v>111.857196</c:v>
                </c:pt>
                <c:pt idx="32">
                  <c:v>133.07054199999999</c:v>
                </c:pt>
                <c:pt idx="33">
                  <c:v>157.37243100000001</c:v>
                </c:pt>
                <c:pt idx="34">
                  <c:v>185.59999049999999</c:v>
                </c:pt>
                <c:pt idx="35">
                  <c:v>94.974608000000003</c:v>
                </c:pt>
                <c:pt idx="36">
                  <c:v>113.37122100000001</c:v>
                </c:pt>
                <c:pt idx="37">
                  <c:v>134.28056599999999</c:v>
                </c:pt>
                <c:pt idx="38">
                  <c:v>159.115013</c:v>
                </c:pt>
                <c:pt idx="39">
                  <c:v>188.11740270000001</c:v>
                </c:pt>
                <c:pt idx="40">
                  <c:v>101.56360100000001</c:v>
                </c:pt>
                <c:pt idx="41">
                  <c:v>121.173587</c:v>
                </c:pt>
                <c:pt idx="42">
                  <c:v>143.75535300000001</c:v>
                </c:pt>
                <c:pt idx="43">
                  <c:v>170.23018300000001</c:v>
                </c:pt>
                <c:pt idx="44">
                  <c:v>103.04505</c:v>
                </c:pt>
                <c:pt idx="45">
                  <c:v>123.59850400000001</c:v>
                </c:pt>
                <c:pt idx="46">
                  <c:v>146.648494</c:v>
                </c:pt>
                <c:pt idx="47">
                  <c:v>172.67513199999999</c:v>
                </c:pt>
                <c:pt idx="48">
                  <c:v>102.098448</c:v>
                </c:pt>
                <c:pt idx="49">
                  <c:v>118.389589</c:v>
                </c:pt>
                <c:pt idx="50">
                  <c:v>141.97636399999999</c:v>
                </c:pt>
                <c:pt idx="51">
                  <c:v>167.870732</c:v>
                </c:pt>
                <c:pt idx="52">
                  <c:v>105.24395800000001</c:v>
                </c:pt>
                <c:pt idx="53">
                  <c:v>128.46474900000001</c:v>
                </c:pt>
                <c:pt idx="54">
                  <c:v>147.760977</c:v>
                </c:pt>
                <c:pt idx="55">
                  <c:v>175.101787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E-484C-8661-3F04120D8EC3}"/>
            </c:ext>
          </c:extLst>
        </c:ser>
        <c:ser>
          <c:idx val="0"/>
          <c:order val="1"/>
          <c:tx>
            <c:strRef>
              <c:f>Messwerte!$I$1</c:f>
              <c:strCache>
                <c:ptCount val="1"/>
                <c:pt idx="0">
                  <c:v>Strom_C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Messwerte!$D$2:$D$57</c:f>
              <c:numCache>
                <c:formatCode>0.0</c:formatCode>
                <c:ptCount val="56"/>
                <c:pt idx="0">
                  <c:v>56.5</c:v>
                </c:pt>
                <c:pt idx="1">
                  <c:v>50.5</c:v>
                </c:pt>
                <c:pt idx="2">
                  <c:v>44.5</c:v>
                </c:pt>
                <c:pt idx="3">
                  <c:v>38.5</c:v>
                </c:pt>
                <c:pt idx="4">
                  <c:v>32.5</c:v>
                </c:pt>
                <c:pt idx="5">
                  <c:v>53</c:v>
                </c:pt>
                <c:pt idx="6">
                  <c:v>47</c:v>
                </c:pt>
                <c:pt idx="7">
                  <c:v>41</c:v>
                </c:pt>
                <c:pt idx="8">
                  <c:v>35</c:v>
                </c:pt>
                <c:pt idx="9">
                  <c:v>29</c:v>
                </c:pt>
                <c:pt idx="10">
                  <c:v>56</c:v>
                </c:pt>
                <c:pt idx="11">
                  <c:v>50</c:v>
                </c:pt>
                <c:pt idx="12">
                  <c:v>44</c:v>
                </c:pt>
                <c:pt idx="13">
                  <c:v>38</c:v>
                </c:pt>
                <c:pt idx="14">
                  <c:v>32</c:v>
                </c:pt>
                <c:pt idx="15">
                  <c:v>53.5</c:v>
                </c:pt>
                <c:pt idx="16">
                  <c:v>47.5</c:v>
                </c:pt>
                <c:pt idx="17">
                  <c:v>41.5</c:v>
                </c:pt>
                <c:pt idx="18">
                  <c:v>35.5</c:v>
                </c:pt>
                <c:pt idx="19">
                  <c:v>29.5</c:v>
                </c:pt>
                <c:pt idx="20">
                  <c:v>55.5</c:v>
                </c:pt>
                <c:pt idx="21">
                  <c:v>49.5</c:v>
                </c:pt>
                <c:pt idx="22">
                  <c:v>43.5</c:v>
                </c:pt>
                <c:pt idx="23">
                  <c:v>37.5</c:v>
                </c:pt>
                <c:pt idx="24">
                  <c:v>31.5</c:v>
                </c:pt>
                <c:pt idx="25">
                  <c:v>54</c:v>
                </c:pt>
                <c:pt idx="26">
                  <c:v>48</c:v>
                </c:pt>
                <c:pt idx="27">
                  <c:v>42</c:v>
                </c:pt>
                <c:pt idx="28">
                  <c:v>36</c:v>
                </c:pt>
                <c:pt idx="29">
                  <c:v>30</c:v>
                </c:pt>
                <c:pt idx="30">
                  <c:v>55</c:v>
                </c:pt>
                <c:pt idx="31">
                  <c:v>49</c:v>
                </c:pt>
                <c:pt idx="32">
                  <c:v>43</c:v>
                </c:pt>
                <c:pt idx="33">
                  <c:v>37</c:v>
                </c:pt>
                <c:pt idx="34">
                  <c:v>31</c:v>
                </c:pt>
                <c:pt idx="35">
                  <c:v>54.5</c:v>
                </c:pt>
                <c:pt idx="36">
                  <c:v>48.5</c:v>
                </c:pt>
                <c:pt idx="37">
                  <c:v>42.5</c:v>
                </c:pt>
                <c:pt idx="38">
                  <c:v>36.5</c:v>
                </c:pt>
                <c:pt idx="39">
                  <c:v>30.5</c:v>
                </c:pt>
                <c:pt idx="40">
                  <c:v>52</c:v>
                </c:pt>
                <c:pt idx="41">
                  <c:v>46</c:v>
                </c:pt>
                <c:pt idx="42">
                  <c:v>40</c:v>
                </c:pt>
                <c:pt idx="43">
                  <c:v>34</c:v>
                </c:pt>
                <c:pt idx="44">
                  <c:v>51.5</c:v>
                </c:pt>
                <c:pt idx="45">
                  <c:v>45.5</c:v>
                </c:pt>
                <c:pt idx="46">
                  <c:v>39.5</c:v>
                </c:pt>
                <c:pt idx="47">
                  <c:v>33.5</c:v>
                </c:pt>
                <c:pt idx="48">
                  <c:v>52.5</c:v>
                </c:pt>
                <c:pt idx="49">
                  <c:v>46.5</c:v>
                </c:pt>
                <c:pt idx="50">
                  <c:v>40.5</c:v>
                </c:pt>
                <c:pt idx="51">
                  <c:v>34.5</c:v>
                </c:pt>
                <c:pt idx="52">
                  <c:v>51</c:v>
                </c:pt>
                <c:pt idx="53">
                  <c:v>45</c:v>
                </c:pt>
                <c:pt idx="54">
                  <c:v>39</c:v>
                </c:pt>
                <c:pt idx="55">
                  <c:v>33</c:v>
                </c:pt>
              </c:numCache>
            </c:numRef>
          </c:xVal>
          <c:yVal>
            <c:numRef>
              <c:f>Messwerte!$I$2:$I$57</c:f>
              <c:numCache>
                <c:formatCode>0.00</c:formatCode>
                <c:ptCount val="56"/>
                <c:pt idx="5">
                  <c:v>28.757190000000001</c:v>
                </c:pt>
                <c:pt idx="6">
                  <c:v>31.645126999999999</c:v>
                </c:pt>
                <c:pt idx="7">
                  <c:v>37.887188999999999</c:v>
                </c:pt>
                <c:pt idx="8">
                  <c:v>12.2658</c:v>
                </c:pt>
                <c:pt idx="9">
                  <c:v>49.041418999999998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AA-8240-A536-ED35D8D6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C8FF31-9E4B-7244-98E2-B8BDFA6DD61A}">
  <sheetPr codeName="Diagramm4"/>
  <sheetViews>
    <sheetView zoomScale="199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7290" cy="6029533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9BE4C8B-2F8B-0F43-8F9E-CD759A194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13B57-F14A-F644-BEBD-B2E4F3778F48}" name="Grundabstand" displayName="Grundabstand" ref="A2:C14" totalsRowShown="0">
  <autoFilter ref="A2:C14" xr:uid="{51313B57-F14A-F644-BEBD-B2E4F3778F48}"/>
  <tableColumns count="3">
    <tableColumn id="1" xr3:uid="{A20B8B0B-C8DD-6B4A-A80D-1E33FB8DF66E}" name="Halterung" dataDxfId="11"/>
    <tableColumn id="2" xr3:uid="{39D2E711-139E-DB40-B940-9EB95B993BCC}" name="Orientierung" dataDxfId="10"/>
    <tableColumn id="3" xr3:uid="{70CE2504-AD3F-8844-83CF-779750679C7A}" name="Grundabstand" dataDxfId="9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J57" totalsRowShown="0">
  <autoFilter ref="A1:J57" xr:uid="{F7DC5883-848F-3148-B105-3DA5053DB473}"/>
  <sortState xmlns:xlrd2="http://schemas.microsoft.com/office/spreadsheetml/2017/richdata2" ref="A2:G57">
    <sortCondition ref="A2:A57"/>
    <sortCondition descending="1" ref="B2:B57"/>
    <sortCondition descending="1" ref="C2:C57"/>
  </sortState>
  <tableColumns count="10">
    <tableColumn id="1" xr3:uid="{DDB87365-E84F-DE44-BE74-D1D88C899583}" name="Halterung" dataDxfId="8"/>
    <tableColumn id="2" xr3:uid="{E63245AB-3E9A-1A45-9E51-961AA4DB20DB}" name="Orientierung" dataDxfId="7"/>
    <tableColumn id="4" xr3:uid="{DF78FFFA-ED20-3540-A29B-8AFAB0F6EBE4}" name="Messpunkt"/>
    <tableColumn id="5" xr3:uid="{0322773A-1725-7244-BBFF-F9EF7439C0C6}" name="Abstand / mm" dataDxfId="6">
      <calculatedColumnFormula array="1">(C2-1)*6 + VLOOKUP(Messwerte[[#This Row],[Halterung]]&amp;Messwerte[[#This Row],[Orientierung]],CHOOSE({1,2},Grundabstand[Halterung]&amp;Grundabstand[Orientierung],Grundabstand[Grundabstand]),2,0)+25.5</calculatedColumnFormula>
    </tableColumn>
    <tableColumn id="6" xr3:uid="{796C01A9-8C49-E34F-B535-695D93F3EB13}" name="Strom / nA" dataDxfId="5"/>
    <tableColumn id="7" xr3:uid="{26476CCB-61FA-9040-9CD8-7D25A317245C}" name="Unsicherheit / nA" dataDxfId="4"/>
    <tableColumn id="3" xr3:uid="{8D8A8BFE-DDA3-B34D-801B-1021FF06E62A}" name="Temperatur / °C" dataDxfId="3"/>
    <tableColumn id="10" xr3:uid="{E28A10A4-CA0E-3B43-B703-F9D1D83A080C}" name="Luftdruck" dataDxfId="2"/>
    <tableColumn id="11" xr3:uid="{7DC12E51-9E64-8D4D-9CF5-B2919F9A9226}" name="Strom_C / nA" dataDxfId="1"/>
    <tableColumn id="12" xr3:uid="{C4333AF0-FE7D-5D44-B914-559BA3C33AFC}" name="Unsicherheit_C / nA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sheetPr codeName="Tabelle1"/>
  <dimension ref="A1:G107"/>
  <sheetViews>
    <sheetView tabSelected="1" zoomScale="120" zoomScaleNormal="120" workbookViewId="0">
      <selection activeCell="B6" sqref="B6"/>
    </sheetView>
  </sheetViews>
  <sheetFormatPr baseColWidth="10" defaultRowHeight="16" x14ac:dyDescent="0.2"/>
  <cols>
    <col min="1" max="1" width="36.33203125" bestFit="1" customWidth="1"/>
    <col min="2" max="2" width="18.6640625" style="2" bestFit="1" customWidth="1"/>
    <col min="3" max="3" width="12.6640625" bestFit="1" customWidth="1"/>
    <col min="4" max="4" width="18" bestFit="1" customWidth="1"/>
    <col min="5" max="8" width="25.83203125" customWidth="1"/>
  </cols>
  <sheetData>
    <row r="1" spans="1:5" x14ac:dyDescent="0.2">
      <c r="A1" t="s">
        <v>0</v>
      </c>
      <c r="B1" s="3">
        <v>44691</v>
      </c>
    </row>
    <row r="2" spans="1:5" x14ac:dyDescent="0.2">
      <c r="A2" t="s">
        <v>1</v>
      </c>
      <c r="B2" s="2" t="s">
        <v>4</v>
      </c>
    </row>
    <row r="3" spans="1:5" x14ac:dyDescent="0.2">
      <c r="A3" t="s">
        <v>35</v>
      </c>
      <c r="B3" s="2" t="s">
        <v>39</v>
      </c>
    </row>
    <row r="4" spans="1:5" x14ac:dyDescent="0.2">
      <c r="A4" t="s">
        <v>36</v>
      </c>
      <c r="B4" s="2" t="s">
        <v>37</v>
      </c>
    </row>
    <row r="5" spans="1:5" x14ac:dyDescent="0.2">
      <c r="A5" t="s">
        <v>38</v>
      </c>
      <c r="B5" s="2" t="s">
        <v>40</v>
      </c>
    </row>
    <row r="7" spans="1:5" x14ac:dyDescent="0.2">
      <c r="A7" s="1" t="s">
        <v>7</v>
      </c>
      <c r="B7" s="4"/>
    </row>
    <row r="8" spans="1:5" x14ac:dyDescent="0.2">
      <c r="A8" t="s">
        <v>28</v>
      </c>
      <c r="B8" s="2">
        <v>0.9</v>
      </c>
    </row>
    <row r="9" spans="1:5" x14ac:dyDescent="0.2">
      <c r="A9" t="s">
        <v>5</v>
      </c>
      <c r="B9" s="2">
        <v>30</v>
      </c>
    </row>
    <row r="10" spans="1:5" x14ac:dyDescent="0.2">
      <c r="A10" t="s">
        <v>6</v>
      </c>
      <c r="B10" s="2">
        <v>100</v>
      </c>
    </row>
    <row r="11" spans="1:5" x14ac:dyDescent="0.2">
      <c r="A11" t="s">
        <v>21</v>
      </c>
      <c r="B11" s="2">
        <v>0.5</v>
      </c>
    </row>
    <row r="12" spans="1:5" x14ac:dyDescent="0.2">
      <c r="A12" t="s">
        <v>29</v>
      </c>
      <c r="B12">
        <v>1.4419999999999999E-3</v>
      </c>
    </row>
    <row r="13" spans="1:5" x14ac:dyDescent="0.2">
      <c r="A13" t="s">
        <v>30</v>
      </c>
      <c r="B13">
        <v>1.7100000000000001E-4</v>
      </c>
    </row>
    <row r="14" spans="1:5" x14ac:dyDescent="0.2">
      <c r="B14"/>
      <c r="E14" s="1"/>
    </row>
    <row r="15" spans="1:5" x14ac:dyDescent="0.2">
      <c r="A15" s="1" t="s">
        <v>14</v>
      </c>
    </row>
    <row r="16" spans="1:5" x14ac:dyDescent="0.2">
      <c r="A16" t="s">
        <v>15</v>
      </c>
      <c r="B16" s="2">
        <v>5</v>
      </c>
    </row>
    <row r="18" spans="1:5" x14ac:dyDescent="0.2">
      <c r="A18" s="1" t="s">
        <v>2</v>
      </c>
    </row>
    <row r="19" spans="1:5" x14ac:dyDescent="0.2">
      <c r="A19" t="s">
        <v>31</v>
      </c>
      <c r="B19" s="2">
        <v>2</v>
      </c>
    </row>
    <row r="20" spans="1:5" x14ac:dyDescent="0.2">
      <c r="A20" t="s">
        <v>32</v>
      </c>
      <c r="B20" s="2">
        <v>100</v>
      </c>
    </row>
    <row r="21" spans="1:5" x14ac:dyDescent="0.2">
      <c r="A21" t="s">
        <v>19</v>
      </c>
      <c r="B21" s="2" t="s">
        <v>22</v>
      </c>
    </row>
    <row r="22" spans="1:5" x14ac:dyDescent="0.2">
      <c r="A22" t="s">
        <v>25</v>
      </c>
      <c r="B22" s="2">
        <v>12</v>
      </c>
    </row>
    <row r="23" spans="1:5" x14ac:dyDescent="0.2">
      <c r="A23" t="s">
        <v>33</v>
      </c>
      <c r="B23" s="2" t="str">
        <f>IF(B20=70, "Aluminium", "Kupfer")</f>
        <v>Kupfer</v>
      </c>
    </row>
    <row r="24" spans="1:5" x14ac:dyDescent="0.2">
      <c r="A24" t="s">
        <v>34</v>
      </c>
      <c r="B24" s="2">
        <f>IF(B20=70, 1, 0.5)</f>
        <v>0.5</v>
      </c>
    </row>
    <row r="27" spans="1:5" x14ac:dyDescent="0.2">
      <c r="E27" s="1"/>
    </row>
    <row r="43" spans="7:7" ht="49" customHeight="1" x14ac:dyDescent="0.2">
      <c r="G43" s="7"/>
    </row>
    <row r="101" spans="1:6" x14ac:dyDescent="0.2">
      <c r="E101" s="8"/>
      <c r="F101" s="8"/>
    </row>
    <row r="102" spans="1:6" x14ac:dyDescent="0.2">
      <c r="E102" s="8"/>
      <c r="F102" s="8"/>
    </row>
    <row r="103" spans="1:6" x14ac:dyDescent="0.2">
      <c r="E103" s="8"/>
      <c r="F103" s="8"/>
    </row>
    <row r="104" spans="1:6" x14ac:dyDescent="0.2">
      <c r="A104" s="5"/>
      <c r="B104" s="6"/>
      <c r="E104" s="8"/>
      <c r="F104" s="8"/>
    </row>
    <row r="105" spans="1:6" x14ac:dyDescent="0.2">
      <c r="A105" s="5"/>
      <c r="B105" s="6"/>
    </row>
    <row r="106" spans="1:6" x14ac:dyDescent="0.2">
      <c r="A106" s="5"/>
      <c r="B106" s="6"/>
    </row>
    <row r="107" spans="1:6" x14ac:dyDescent="0.2">
      <c r="A107" s="5"/>
      <c r="B107" s="6"/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F83F1-4467-824F-8019-E1868F809895}">
  <sheetPr codeName="Tabelle2"/>
  <dimension ref="A1:E14"/>
  <sheetViews>
    <sheetView workbookViewId="0">
      <selection activeCell="F14" sqref="F14"/>
    </sheetView>
  </sheetViews>
  <sheetFormatPr baseColWidth="10" defaultRowHeight="16" x14ac:dyDescent="0.2"/>
  <cols>
    <col min="1" max="1" width="11.83203125" bestFit="1" customWidth="1"/>
    <col min="2" max="2" width="14" bestFit="1" customWidth="1"/>
    <col min="3" max="3" width="15.1640625" bestFit="1" customWidth="1"/>
  </cols>
  <sheetData>
    <row r="1" spans="1:5" x14ac:dyDescent="0.2">
      <c r="A1" s="10" t="s">
        <v>11</v>
      </c>
      <c r="B1" s="10"/>
      <c r="C1" s="10"/>
    </row>
    <row r="2" spans="1:5" x14ac:dyDescent="0.2">
      <c r="A2" t="s">
        <v>3</v>
      </c>
      <c r="B2" t="s">
        <v>8</v>
      </c>
      <c r="C2" t="s">
        <v>13</v>
      </c>
    </row>
    <row r="3" spans="1:5" x14ac:dyDescent="0.2">
      <c r="A3" s="5">
        <v>1</v>
      </c>
      <c r="B3" s="6" t="s">
        <v>17</v>
      </c>
      <c r="C3" s="9">
        <v>3.5</v>
      </c>
      <c r="E3" t="s">
        <v>20</v>
      </c>
    </row>
    <row r="4" spans="1:5" x14ac:dyDescent="0.2">
      <c r="A4" s="5">
        <v>1</v>
      </c>
      <c r="B4" s="6" t="s">
        <v>18</v>
      </c>
      <c r="C4" s="9">
        <v>7</v>
      </c>
    </row>
    <row r="5" spans="1:5" x14ac:dyDescent="0.2">
      <c r="A5" s="5">
        <v>2</v>
      </c>
      <c r="B5" s="6" t="s">
        <v>17</v>
      </c>
      <c r="C5" s="9">
        <v>4</v>
      </c>
    </row>
    <row r="6" spans="1:5" x14ac:dyDescent="0.2">
      <c r="A6" s="5">
        <v>2</v>
      </c>
      <c r="B6" s="6" t="s">
        <v>18</v>
      </c>
      <c r="C6" s="9">
        <v>6.5</v>
      </c>
    </row>
    <row r="7" spans="1:5" x14ac:dyDescent="0.2">
      <c r="A7" s="5">
        <v>3</v>
      </c>
      <c r="B7" s="6" t="s">
        <v>17</v>
      </c>
      <c r="C7" s="9">
        <v>4.5</v>
      </c>
    </row>
    <row r="8" spans="1:5" x14ac:dyDescent="0.2">
      <c r="A8" s="5">
        <v>3</v>
      </c>
      <c r="B8" s="6" t="s">
        <v>18</v>
      </c>
      <c r="C8" s="9">
        <v>6</v>
      </c>
    </row>
    <row r="9" spans="1:5" x14ac:dyDescent="0.2">
      <c r="A9" s="5">
        <v>4</v>
      </c>
      <c r="B9" s="6" t="s">
        <v>17</v>
      </c>
      <c r="C9" s="9">
        <v>5</v>
      </c>
    </row>
    <row r="10" spans="1:5" x14ac:dyDescent="0.2">
      <c r="A10" s="5">
        <v>4</v>
      </c>
      <c r="B10" s="6" t="s">
        <v>18</v>
      </c>
      <c r="C10" s="9">
        <v>5.5</v>
      </c>
    </row>
    <row r="11" spans="1:5" x14ac:dyDescent="0.2">
      <c r="A11" s="5">
        <v>5</v>
      </c>
      <c r="B11" s="6" t="s">
        <v>17</v>
      </c>
      <c r="C11" s="9">
        <v>8</v>
      </c>
    </row>
    <row r="12" spans="1:5" x14ac:dyDescent="0.2">
      <c r="A12" s="5">
        <v>5</v>
      </c>
      <c r="B12" s="6" t="s">
        <v>18</v>
      </c>
      <c r="C12" s="9">
        <v>8.5</v>
      </c>
    </row>
    <row r="13" spans="1:5" x14ac:dyDescent="0.2">
      <c r="A13" s="5">
        <v>6</v>
      </c>
      <c r="B13" s="6" t="s">
        <v>17</v>
      </c>
      <c r="C13" s="9">
        <v>7.5</v>
      </c>
    </row>
    <row r="14" spans="1:5" x14ac:dyDescent="0.2">
      <c r="A14" s="5">
        <v>6</v>
      </c>
      <c r="B14" s="6" t="s">
        <v>18</v>
      </c>
      <c r="C14" s="9">
        <v>9</v>
      </c>
    </row>
  </sheetData>
  <mergeCells count="1">
    <mergeCell ref="A1:C1"/>
  </mergeCell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06B0-A3F6-074E-9391-B38EFE377A26}">
  <sheetPr codeName="Tabelle3"/>
  <dimension ref="A1:J57"/>
  <sheetViews>
    <sheetView zoomScaleNormal="100" workbookViewId="0">
      <selection activeCell="D3" sqref="D3"/>
    </sheetView>
  </sheetViews>
  <sheetFormatPr baseColWidth="10" defaultRowHeight="16" x14ac:dyDescent="0.2"/>
  <cols>
    <col min="1" max="1" width="11.83203125" bestFit="1" customWidth="1"/>
    <col min="2" max="2" width="11.5" bestFit="1" customWidth="1"/>
    <col min="3" max="3" width="12.6640625" bestFit="1" customWidth="1"/>
    <col min="4" max="4" width="15.5" bestFit="1" customWidth="1"/>
    <col min="5" max="5" width="12.6640625" bestFit="1" customWidth="1"/>
    <col min="6" max="6" width="18" bestFit="1" customWidth="1"/>
    <col min="9" max="9" width="17" bestFit="1" customWidth="1"/>
    <col min="10" max="10" width="20.1640625" bestFit="1" customWidth="1"/>
  </cols>
  <sheetData>
    <row r="1" spans="1:10" x14ac:dyDescent="0.2">
      <c r="A1" t="s">
        <v>3</v>
      </c>
      <c r="B1" s="2" t="s">
        <v>8</v>
      </c>
      <c r="C1" t="s">
        <v>9</v>
      </c>
      <c r="D1" t="s">
        <v>10</v>
      </c>
      <c r="E1" t="s">
        <v>12</v>
      </c>
      <c r="F1" t="s">
        <v>16</v>
      </c>
      <c r="G1" t="s">
        <v>23</v>
      </c>
      <c r="H1" t="s">
        <v>24</v>
      </c>
      <c r="I1" t="s">
        <v>26</v>
      </c>
      <c r="J1" t="s">
        <v>27</v>
      </c>
    </row>
    <row r="2" spans="1:10" x14ac:dyDescent="0.2">
      <c r="A2" s="5">
        <v>1</v>
      </c>
      <c r="B2" s="6" t="s">
        <v>18</v>
      </c>
      <c r="C2">
        <v>5</v>
      </c>
      <c r="D2" s="9" cm="1">
        <f t="array" ref="D2">(C2-1)*6 + VLOOKUP(Messwerte[[#This Row],[Halterung]]&amp;Messwerte[[#This Row],[Orientierung]],CHOOSE({1,2},Grundabstand[Halterung]&amp;Grundabstand[Orientierung],Grundabstand[Grundabstand]),2,0)+25.5</f>
        <v>56.5</v>
      </c>
      <c r="E2" s="8">
        <v>89.481245000000001</v>
      </c>
      <c r="F2" s="8">
        <v>6.4000000000000001E-2</v>
      </c>
      <c r="G2" s="9">
        <v>23.6</v>
      </c>
      <c r="H2" s="9">
        <v>980.9</v>
      </c>
      <c r="I2" s="8"/>
      <c r="J2" s="8"/>
    </row>
    <row r="3" spans="1:10" x14ac:dyDescent="0.2">
      <c r="A3" s="5">
        <v>1</v>
      </c>
      <c r="B3" s="6" t="s">
        <v>18</v>
      </c>
      <c r="C3">
        <v>4</v>
      </c>
      <c r="D3" s="9" cm="1">
        <f t="array" ref="D3">(C3-1)*6 + VLOOKUP(Messwerte[[#This Row],[Halterung]]&amp;Messwerte[[#This Row],[Orientierung]],CHOOSE({1,2},Grundabstand[Halterung]&amp;Grundabstand[Orientierung],Grundabstand[Grundabstand]),2,0)+25.5</f>
        <v>50.5</v>
      </c>
      <c r="E3" s="8">
        <v>105.24783100000001</v>
      </c>
      <c r="F3" s="8">
        <v>6.5699999999999995E-2</v>
      </c>
      <c r="G3" s="9">
        <v>23.6</v>
      </c>
      <c r="H3" s="9">
        <v>980.9</v>
      </c>
      <c r="I3" s="8"/>
      <c r="J3" s="8"/>
    </row>
    <row r="4" spans="1:10" x14ac:dyDescent="0.2">
      <c r="A4" s="5">
        <v>1</v>
      </c>
      <c r="B4" s="6" t="s">
        <v>18</v>
      </c>
      <c r="C4">
        <v>3</v>
      </c>
      <c r="D4" s="9" cm="1">
        <f t="array" ref="D4">(C4-1)*6 + VLOOKUP(Messwerte[[#This Row],[Halterung]]&amp;Messwerte[[#This Row],[Orientierung]],CHOOSE({1,2},Grundabstand[Halterung]&amp;Grundabstand[Orientierung],Grundabstand[Grundabstand]),2,0)+25.5</f>
        <v>44.5</v>
      </c>
      <c r="E4" s="8">
        <v>126.67948</v>
      </c>
      <c r="F4" s="8">
        <v>7.22E-2</v>
      </c>
      <c r="G4" s="9">
        <v>23.6</v>
      </c>
      <c r="H4" s="9">
        <v>980.9</v>
      </c>
      <c r="I4" s="8"/>
      <c r="J4" s="8"/>
    </row>
    <row r="5" spans="1:10" x14ac:dyDescent="0.2">
      <c r="A5" s="5">
        <v>1</v>
      </c>
      <c r="B5" s="6" t="s">
        <v>18</v>
      </c>
      <c r="C5">
        <v>2</v>
      </c>
      <c r="D5" s="9" cm="1">
        <f t="array" ref="D5">(C5-1)*6 + VLOOKUP(Messwerte[[#This Row],[Halterung]]&amp;Messwerte[[#This Row],[Orientierung]],CHOOSE({1,2},Grundabstand[Halterung]&amp;Grundabstand[Orientierung],Grundabstand[Grundabstand]),2,0)+25.5</f>
        <v>38.5</v>
      </c>
      <c r="E5" s="8">
        <v>150.01414700000001</v>
      </c>
      <c r="F5" s="8">
        <v>8.4400000000000003E-2</v>
      </c>
      <c r="G5" s="9">
        <v>23.6</v>
      </c>
      <c r="H5" s="9">
        <v>980.9</v>
      </c>
      <c r="I5" s="8"/>
      <c r="J5" s="8"/>
    </row>
    <row r="6" spans="1:10" x14ac:dyDescent="0.2">
      <c r="A6" s="5">
        <v>1</v>
      </c>
      <c r="B6" s="6" t="s">
        <v>18</v>
      </c>
      <c r="C6">
        <v>1</v>
      </c>
      <c r="D6" s="9" cm="1">
        <f t="array" ref="D6">(C6-1)*6 + VLOOKUP(Messwerte[[#This Row],[Halterung]]&amp;Messwerte[[#This Row],[Orientierung]],CHOOSE({1,2},Grundabstand[Halterung]&amp;Grundabstand[Orientierung],Grundabstand[Grundabstand]),2,0)+25.5</f>
        <v>32.5</v>
      </c>
      <c r="E6" s="8">
        <v>177.202068</v>
      </c>
      <c r="F6" s="8">
        <v>8.7400000000000005E-2</v>
      </c>
      <c r="G6" s="9">
        <v>23.6</v>
      </c>
      <c r="H6" s="9">
        <v>980.9</v>
      </c>
      <c r="I6" s="8"/>
      <c r="J6" s="8"/>
    </row>
    <row r="7" spans="1:10" x14ac:dyDescent="0.2">
      <c r="A7" s="5">
        <v>1</v>
      </c>
      <c r="B7" s="6" t="s">
        <v>17</v>
      </c>
      <c r="C7">
        <v>5</v>
      </c>
      <c r="D7" s="9" cm="1">
        <f t="array" ref="D7">(C7-1)*6 + VLOOKUP(Messwerte[[#This Row],[Halterung]]&amp;Messwerte[[#This Row],[Orientierung]],CHOOSE({1,2},Grundabstand[Halterung]&amp;Grundabstand[Orientierung],Grundabstand[Grundabstand]),2,0)+25.5</f>
        <v>53</v>
      </c>
      <c r="E7" s="8">
        <v>97.720724000000004</v>
      </c>
      <c r="F7" s="8">
        <v>6.54E-2</v>
      </c>
      <c r="G7" s="9">
        <v>23.6</v>
      </c>
      <c r="H7" s="9">
        <v>980.9</v>
      </c>
      <c r="I7" s="8">
        <v>28.757190000000001</v>
      </c>
      <c r="J7" s="8">
        <v>3.2199999999999999E-2</v>
      </c>
    </row>
    <row r="8" spans="1:10" x14ac:dyDescent="0.2">
      <c r="A8" s="5">
        <v>1</v>
      </c>
      <c r="B8" s="6" t="s">
        <v>17</v>
      </c>
      <c r="C8">
        <v>4</v>
      </c>
      <c r="D8" s="9" cm="1">
        <f t="array" ref="D8">(C8-1)*6 + VLOOKUP(Messwerte[[#This Row],[Halterung]]&amp;Messwerte[[#This Row],[Orientierung]],CHOOSE({1,2},Grundabstand[Halterung]&amp;Grundabstand[Orientierung],Grundabstand[Grundabstand]),2,0)+25.5</f>
        <v>47</v>
      </c>
      <c r="E8" s="8">
        <v>121.496883</v>
      </c>
      <c r="F8" s="8">
        <v>6.9500000000000006E-2</v>
      </c>
      <c r="G8" s="9">
        <v>23.6</v>
      </c>
      <c r="H8" s="9">
        <v>980.9</v>
      </c>
      <c r="I8" s="8">
        <v>31.645126999999999</v>
      </c>
      <c r="J8" s="8">
        <v>3.04E-2</v>
      </c>
    </row>
    <row r="9" spans="1:10" x14ac:dyDescent="0.2">
      <c r="A9" s="5">
        <v>1</v>
      </c>
      <c r="B9" s="6" t="s">
        <v>17</v>
      </c>
      <c r="C9">
        <v>3</v>
      </c>
      <c r="D9" s="9" cm="1">
        <f t="array" ref="D9">(C9-1)*6 + VLOOKUP(Messwerte[[#This Row],[Halterung]]&amp;Messwerte[[#This Row],[Orientierung]],CHOOSE({1,2},Grundabstand[Halterung]&amp;Grundabstand[Orientierung],Grundabstand[Grundabstand]),2,0)+25.5</f>
        <v>41</v>
      </c>
      <c r="E9" s="8">
        <v>144.34146699999999</v>
      </c>
      <c r="F9" s="8">
        <v>8.4000000000000005E-2</v>
      </c>
      <c r="G9" s="9">
        <v>23.6</v>
      </c>
      <c r="H9" s="9">
        <v>980.9</v>
      </c>
      <c r="I9" s="8">
        <v>37.887188999999999</v>
      </c>
      <c r="J9" s="8">
        <v>3.32E-2</v>
      </c>
    </row>
    <row r="10" spans="1:10" x14ac:dyDescent="0.2">
      <c r="A10" s="5">
        <v>1</v>
      </c>
      <c r="B10" s="6" t="s">
        <v>17</v>
      </c>
      <c r="C10">
        <v>2</v>
      </c>
      <c r="D10" s="9" cm="1">
        <f t="array" ref="D10">(C10-1)*6 + VLOOKUP(Messwerte[[#This Row],[Halterung]]&amp;Messwerte[[#This Row],[Orientierung]],CHOOSE({1,2},Grundabstand[Halterung]&amp;Grundabstand[Orientierung],Grundabstand[Grundabstand]),2,0)+25.5</f>
        <v>35</v>
      </c>
      <c r="E10" s="8">
        <v>165.993211</v>
      </c>
      <c r="F10" s="8">
        <v>9.2600000000000002E-2</v>
      </c>
      <c r="G10" s="9">
        <v>23.6</v>
      </c>
      <c r="H10" s="9">
        <v>980.9</v>
      </c>
      <c r="I10" s="8">
        <v>12.2658</v>
      </c>
      <c r="J10" s="8">
        <v>1.77E-2</v>
      </c>
    </row>
    <row r="11" spans="1:10" x14ac:dyDescent="0.2">
      <c r="A11" s="5">
        <v>1</v>
      </c>
      <c r="B11" s="6" t="s">
        <v>17</v>
      </c>
      <c r="C11">
        <v>1</v>
      </c>
      <c r="D11" s="9" cm="1">
        <f t="array" ref="D11">(C11-1)*6 + VLOOKUP(Messwerte[[#This Row],[Halterung]]&amp;Messwerte[[#This Row],[Orientierung]],CHOOSE({1,2},Grundabstand[Halterung]&amp;Grundabstand[Orientierung],Grundabstand[Grundabstand]),2,0)+25.5</f>
        <v>29</v>
      </c>
      <c r="E11" s="8">
        <v>196.80508499999999</v>
      </c>
      <c r="F11" s="8">
        <v>8.8700000000000001E-2</v>
      </c>
      <c r="G11" s="9">
        <v>23.6</v>
      </c>
      <c r="H11" s="9">
        <v>980.9</v>
      </c>
      <c r="I11" s="8">
        <v>49.041418999999998</v>
      </c>
      <c r="J11" s="8">
        <v>3.9800000000000002E-2</v>
      </c>
    </row>
    <row r="12" spans="1:10" x14ac:dyDescent="0.2">
      <c r="A12" s="5">
        <v>2</v>
      </c>
      <c r="B12" s="6" t="s">
        <v>18</v>
      </c>
      <c r="C12">
        <v>5</v>
      </c>
      <c r="D12" s="9" cm="1">
        <f t="array" ref="D12">(C12-1)*6 + VLOOKUP(Messwerte[[#This Row],[Halterung]]&amp;Messwerte[[#This Row],[Orientierung]],CHOOSE({1,2},Grundabstand[Halterung]&amp;Grundabstand[Orientierung],Grundabstand[Grundabstand]),2,0)+25.5</f>
        <v>56</v>
      </c>
      <c r="E12" s="8">
        <v>89.180144999999996</v>
      </c>
      <c r="F12" s="8">
        <v>5.8599999999999999E-2</v>
      </c>
      <c r="G12" s="9">
        <v>23.6</v>
      </c>
      <c r="H12" s="9">
        <v>980.9</v>
      </c>
      <c r="I12" s="8"/>
      <c r="J12" s="8"/>
    </row>
    <row r="13" spans="1:10" x14ac:dyDescent="0.2">
      <c r="A13" s="5">
        <v>2</v>
      </c>
      <c r="B13" s="6" t="s">
        <v>18</v>
      </c>
      <c r="C13">
        <v>4</v>
      </c>
      <c r="D13" s="9" cm="1">
        <f t="array" ref="D13">(C13-1)*6 + VLOOKUP(Messwerte[[#This Row],[Halterung]]&amp;Messwerte[[#This Row],[Orientierung]],CHOOSE({1,2},Grundabstand[Halterung]&amp;Grundabstand[Orientierung],Grundabstand[Grundabstand]),2,0)+25.5</f>
        <v>50</v>
      </c>
      <c r="E13" s="8">
        <v>108.222459</v>
      </c>
      <c r="F13" s="8">
        <v>6.59E-2</v>
      </c>
      <c r="G13" s="9">
        <v>23.6</v>
      </c>
      <c r="H13" s="9">
        <v>980.9</v>
      </c>
      <c r="I13" s="8"/>
      <c r="J13" s="8"/>
    </row>
    <row r="14" spans="1:10" x14ac:dyDescent="0.2">
      <c r="A14" s="5">
        <v>2</v>
      </c>
      <c r="B14" s="6" t="s">
        <v>18</v>
      </c>
      <c r="C14">
        <v>3</v>
      </c>
      <c r="D14" s="9" cm="1">
        <f t="array" ref="D14">(C14-1)*6 + VLOOKUP(Messwerte[[#This Row],[Halterung]]&amp;Messwerte[[#This Row],[Orientierung]],CHOOSE({1,2},Grundabstand[Halterung]&amp;Grundabstand[Orientierung],Grundabstand[Grundabstand]),2,0)+25.5</f>
        <v>44</v>
      </c>
      <c r="E14" s="8">
        <v>128.975617</v>
      </c>
      <c r="F14" s="8">
        <v>7.2700000000000001E-2</v>
      </c>
      <c r="G14" s="9">
        <v>23.6</v>
      </c>
      <c r="H14" s="9">
        <v>980.9</v>
      </c>
      <c r="I14" s="8"/>
      <c r="J14" s="8"/>
    </row>
    <row r="15" spans="1:10" x14ac:dyDescent="0.2">
      <c r="A15" s="5">
        <v>2</v>
      </c>
      <c r="B15" s="6" t="s">
        <v>18</v>
      </c>
      <c r="C15">
        <v>2</v>
      </c>
      <c r="D15" s="9" cm="1">
        <f t="array" ref="D15">(C15-1)*6 + VLOOKUP(Messwerte[[#This Row],[Halterung]]&amp;Messwerte[[#This Row],[Orientierung]],CHOOSE({1,2},Grundabstand[Halterung]&amp;Grundabstand[Orientierung],Grundabstand[Grundabstand]),2,0)+25.5</f>
        <v>38</v>
      </c>
      <c r="E15" s="8">
        <v>152.731562</v>
      </c>
      <c r="F15" s="8">
        <v>8.0100000000000005E-2</v>
      </c>
      <c r="G15" s="9">
        <v>23.8</v>
      </c>
      <c r="H15" s="9">
        <v>980.9</v>
      </c>
      <c r="I15" s="8"/>
      <c r="J15" s="8"/>
    </row>
    <row r="16" spans="1:10" x14ac:dyDescent="0.2">
      <c r="A16" s="5">
        <v>2</v>
      </c>
      <c r="B16" s="6" t="s">
        <v>18</v>
      </c>
      <c r="C16">
        <v>1</v>
      </c>
      <c r="D16" s="9" cm="1">
        <f t="array" ref="D16">(C16-1)*6 + VLOOKUP(Messwerte[[#This Row],[Halterung]]&amp;Messwerte[[#This Row],[Orientierung]],CHOOSE({1,2},Grundabstand[Halterung]&amp;Grundabstand[Orientierung],Grundabstand[Grundabstand]),2,0)+25.5</f>
        <v>32</v>
      </c>
      <c r="E16" s="8">
        <v>180.649978</v>
      </c>
      <c r="F16" s="8">
        <v>9.0999999999999998E-2</v>
      </c>
      <c r="G16" s="9">
        <v>23.8</v>
      </c>
      <c r="H16" s="9">
        <v>980.9</v>
      </c>
      <c r="I16" s="8"/>
      <c r="J16" s="8"/>
    </row>
    <row r="17" spans="1:10" x14ac:dyDescent="0.2">
      <c r="A17" s="5">
        <v>2</v>
      </c>
      <c r="B17" s="6" t="s">
        <v>17</v>
      </c>
      <c r="C17">
        <v>5</v>
      </c>
      <c r="D17" s="9" cm="1">
        <f t="array" ref="D17">(C17-1)*6 + VLOOKUP(Messwerte[[#This Row],[Halterung]]&amp;Messwerte[[#This Row],[Orientierung]],CHOOSE({1,2},Grundabstand[Halterung]&amp;Grundabstand[Orientierung],Grundabstand[Grundabstand]),2,0)+25.5</f>
        <v>53.5</v>
      </c>
      <c r="E17" s="8">
        <v>97.288464000000005</v>
      </c>
      <c r="F17" s="8">
        <v>6.2700000000000006E-2</v>
      </c>
      <c r="G17" s="9">
        <v>23.8</v>
      </c>
      <c r="H17" s="9">
        <v>980.9</v>
      </c>
      <c r="I17" s="8"/>
      <c r="J17" s="8"/>
    </row>
    <row r="18" spans="1:10" x14ac:dyDescent="0.2">
      <c r="A18" s="5">
        <v>2</v>
      </c>
      <c r="B18" s="6" t="s">
        <v>17</v>
      </c>
      <c r="C18">
        <v>4</v>
      </c>
      <c r="D18" s="9" cm="1">
        <f t="array" ref="D18">(C18-1)*6 + VLOOKUP(Messwerte[[#This Row],[Halterung]]&amp;Messwerte[[#This Row],[Orientierung]],CHOOSE({1,2},Grundabstand[Halterung]&amp;Grundabstand[Orientierung],Grundabstand[Grundabstand]),2,0)+25.5</f>
        <v>47.5</v>
      </c>
      <c r="E18" s="8">
        <v>117.11288500000001</v>
      </c>
      <c r="F18" s="8">
        <v>7.0699999999999999E-2</v>
      </c>
      <c r="G18" s="9">
        <v>23.8</v>
      </c>
      <c r="H18" s="9">
        <v>980.9</v>
      </c>
      <c r="I18" s="8"/>
      <c r="J18" s="8"/>
    </row>
    <row r="19" spans="1:10" x14ac:dyDescent="0.2">
      <c r="A19" s="5">
        <v>2</v>
      </c>
      <c r="B19" s="6" t="s">
        <v>17</v>
      </c>
      <c r="C19">
        <v>3</v>
      </c>
      <c r="D19" s="9" cm="1">
        <f t="array" ref="D19">(C19-1)*6 + VLOOKUP(Messwerte[[#This Row],[Halterung]]&amp;Messwerte[[#This Row],[Orientierung]],CHOOSE({1,2},Grundabstand[Halterung]&amp;Grundabstand[Orientierung],Grundabstand[Grundabstand]),2,0)+25.5</f>
        <v>41.5</v>
      </c>
      <c r="E19" s="8">
        <v>138.96725799999999</v>
      </c>
      <c r="F19" s="8">
        <v>8.5300000000000001E-2</v>
      </c>
      <c r="G19" s="9">
        <v>23.8</v>
      </c>
      <c r="H19" s="9">
        <v>980.9</v>
      </c>
      <c r="I19" s="8"/>
      <c r="J19" s="8"/>
    </row>
    <row r="20" spans="1:10" x14ac:dyDescent="0.2">
      <c r="A20" s="5">
        <v>2</v>
      </c>
      <c r="B20" s="6" t="s">
        <v>17</v>
      </c>
      <c r="C20">
        <v>2</v>
      </c>
      <c r="D20" s="9" cm="1">
        <f t="array" ref="D20">(C20-1)*6 + VLOOKUP(Messwerte[[#This Row],[Halterung]]&amp;Messwerte[[#This Row],[Orientierung]],CHOOSE({1,2},Grundabstand[Halterung]&amp;Grundabstand[Orientierung],Grundabstand[Grundabstand]),2,0)+25.5</f>
        <v>35.5</v>
      </c>
      <c r="E20" s="8">
        <v>164.47445400000001</v>
      </c>
      <c r="F20" s="8">
        <v>7.5200000000000003E-2</v>
      </c>
      <c r="G20" s="9">
        <v>23.8</v>
      </c>
      <c r="H20" s="9">
        <v>980.9</v>
      </c>
      <c r="I20" s="8"/>
      <c r="J20" s="8"/>
    </row>
    <row r="21" spans="1:10" x14ac:dyDescent="0.2">
      <c r="A21" s="5">
        <v>2</v>
      </c>
      <c r="B21" s="6" t="s">
        <v>17</v>
      </c>
      <c r="C21">
        <v>1</v>
      </c>
      <c r="D21" s="9" cm="1">
        <f t="array" ref="D21">(C21-1)*6 + VLOOKUP(Messwerte[[#This Row],[Halterung]]&amp;Messwerte[[#This Row],[Orientierung]],CHOOSE({1,2},Grundabstand[Halterung]&amp;Grundabstand[Orientierung],Grundabstand[Grundabstand]),2,0)+25.5</f>
        <v>29.5</v>
      </c>
      <c r="E21" s="8">
        <v>194.08243400000001</v>
      </c>
      <c r="F21" s="8">
        <v>8.0100000000000005E-2</v>
      </c>
      <c r="G21" s="9">
        <v>23.8</v>
      </c>
      <c r="H21" s="9">
        <v>980.9</v>
      </c>
      <c r="I21" s="8"/>
      <c r="J21" s="8"/>
    </row>
    <row r="22" spans="1:10" x14ac:dyDescent="0.2">
      <c r="A22" s="5">
        <v>3</v>
      </c>
      <c r="B22" s="6" t="s">
        <v>18</v>
      </c>
      <c r="C22">
        <v>5</v>
      </c>
      <c r="D22" s="9" cm="1">
        <f t="array" ref="D22">(C22-1)*6 + VLOOKUP(Messwerte[[#This Row],[Halterung]]&amp;Messwerte[[#This Row],[Orientierung]],CHOOSE({1,2},Grundabstand[Halterung]&amp;Grundabstand[Orientierung],Grundabstand[Grundabstand]),2,0)+25.5</f>
        <v>55.5</v>
      </c>
      <c r="E22" s="8">
        <v>90.938475999999994</v>
      </c>
      <c r="F22" s="8">
        <v>6.6199999999999995E-2</v>
      </c>
      <c r="G22" s="9">
        <v>23.8</v>
      </c>
      <c r="H22" s="9">
        <v>980.9</v>
      </c>
      <c r="I22" s="8"/>
      <c r="J22" s="8"/>
    </row>
    <row r="23" spans="1:10" x14ac:dyDescent="0.2">
      <c r="A23" s="5">
        <v>3</v>
      </c>
      <c r="B23" s="6" t="s">
        <v>18</v>
      </c>
      <c r="C23">
        <v>4</v>
      </c>
      <c r="D23" s="9" cm="1">
        <f t="array" ref="D23">(C23-1)*6 + VLOOKUP(Messwerte[[#This Row],[Halterung]]&amp;Messwerte[[#This Row],[Orientierung]],CHOOSE({1,2},Grundabstand[Halterung]&amp;Grundabstand[Orientierung],Grundabstand[Grundabstand]),2,0)+25.5</f>
        <v>49.5</v>
      </c>
      <c r="E23" s="8">
        <v>109.40112999999999</v>
      </c>
      <c r="F23" s="8">
        <v>7.0800000000000002E-2</v>
      </c>
      <c r="G23" s="9">
        <v>23.8</v>
      </c>
      <c r="H23" s="9">
        <v>980.9</v>
      </c>
      <c r="I23" s="8"/>
      <c r="J23" s="8"/>
    </row>
    <row r="24" spans="1:10" x14ac:dyDescent="0.2">
      <c r="A24" s="5">
        <v>3</v>
      </c>
      <c r="B24" s="6" t="s">
        <v>18</v>
      </c>
      <c r="C24">
        <v>3</v>
      </c>
      <c r="D24" s="9" cm="1">
        <f t="array" ref="D24">(C24-1)*6 + VLOOKUP(Messwerte[[#This Row],[Halterung]]&amp;Messwerte[[#This Row],[Orientierung]],CHOOSE({1,2},Grundabstand[Halterung]&amp;Grundabstand[Orientierung],Grundabstand[Grundabstand]),2,0)+25.5</f>
        <v>43.5</v>
      </c>
      <c r="E24" s="8">
        <v>131.05547999999999</v>
      </c>
      <c r="F24" s="8">
        <v>7.1999999999999995E-2</v>
      </c>
      <c r="G24" s="9">
        <v>23.8</v>
      </c>
      <c r="H24" s="9">
        <v>980.9</v>
      </c>
      <c r="I24" s="8"/>
      <c r="J24" s="8"/>
    </row>
    <row r="25" spans="1:10" x14ac:dyDescent="0.2">
      <c r="A25" s="5">
        <v>3</v>
      </c>
      <c r="B25" s="6" t="s">
        <v>18</v>
      </c>
      <c r="C25">
        <v>2</v>
      </c>
      <c r="D25" s="9" cm="1">
        <f t="array" ref="D25">(C25-1)*6 + VLOOKUP(Messwerte[[#This Row],[Halterung]]&amp;Messwerte[[#This Row],[Orientierung]],CHOOSE({1,2},Grundabstand[Halterung]&amp;Grundabstand[Orientierung],Grundabstand[Grundabstand]),2,0)+25.5</f>
        <v>37.5</v>
      </c>
      <c r="E25" s="8">
        <v>155.135549</v>
      </c>
      <c r="F25" s="8">
        <v>8.4900000000000003E-2</v>
      </c>
      <c r="G25" s="9">
        <v>23.8</v>
      </c>
      <c r="H25" s="9">
        <v>980.9</v>
      </c>
      <c r="I25" s="8"/>
      <c r="J25" s="8"/>
    </row>
    <row r="26" spans="1:10" x14ac:dyDescent="0.2">
      <c r="A26" s="5">
        <v>3</v>
      </c>
      <c r="B26" s="6" t="s">
        <v>18</v>
      </c>
      <c r="C26">
        <v>1</v>
      </c>
      <c r="D26" s="9" cm="1">
        <f t="array" ref="D26">(C26-1)*6 + VLOOKUP(Messwerte[[#This Row],[Halterung]]&amp;Messwerte[[#This Row],[Orientierung]],CHOOSE({1,2},Grundabstand[Halterung]&amp;Grundabstand[Orientierung],Grundabstand[Grundabstand]),2,0)+25.5</f>
        <v>31.5</v>
      </c>
      <c r="E26" s="8">
        <v>182.92486500000001</v>
      </c>
      <c r="F26" s="8">
        <v>8.5300000000000001E-2</v>
      </c>
      <c r="G26" s="9">
        <v>23.8</v>
      </c>
      <c r="H26" s="9">
        <v>980.9</v>
      </c>
      <c r="I26" s="8"/>
      <c r="J26" s="8"/>
    </row>
    <row r="27" spans="1:10" x14ac:dyDescent="0.2">
      <c r="A27" s="5">
        <v>3</v>
      </c>
      <c r="B27" s="6" t="s">
        <v>17</v>
      </c>
      <c r="C27">
        <v>5</v>
      </c>
      <c r="D27" s="9" cm="1">
        <f t="array" ref="D27">(C27-1)*6 + VLOOKUP(Messwerte[[#This Row],[Halterung]]&amp;Messwerte[[#This Row],[Orientierung]],CHOOSE({1,2},Grundabstand[Halterung]&amp;Grundabstand[Orientierung],Grundabstand[Grundabstand]),2,0)+25.5</f>
        <v>54</v>
      </c>
      <c r="E27" s="8">
        <v>94.040262999999996</v>
      </c>
      <c r="F27" s="8">
        <v>5.3199999999999997E-2</v>
      </c>
      <c r="G27" s="9">
        <v>23.8</v>
      </c>
      <c r="H27" s="9">
        <v>980.9</v>
      </c>
      <c r="I27" s="8"/>
      <c r="J27" s="8"/>
    </row>
    <row r="28" spans="1:10" x14ac:dyDescent="0.2">
      <c r="A28" s="5">
        <v>3</v>
      </c>
      <c r="B28" s="6" t="s">
        <v>17</v>
      </c>
      <c r="C28">
        <v>4</v>
      </c>
      <c r="D28" s="9" cm="1">
        <f t="array" ref="D28">(C28-1)*6 + VLOOKUP(Messwerte[[#This Row],[Halterung]]&amp;Messwerte[[#This Row],[Orientierung]],CHOOSE({1,2},Grundabstand[Halterung]&amp;Grundabstand[Orientierung],Grundabstand[Grundabstand]),2,0)+25.5</f>
        <v>48</v>
      </c>
      <c r="E28" s="8">
        <v>114.877726</v>
      </c>
      <c r="F28" s="8">
        <v>8.1500000000000003E-2</v>
      </c>
      <c r="G28" s="9">
        <v>23.8</v>
      </c>
      <c r="H28" s="9">
        <v>980.9</v>
      </c>
      <c r="I28" s="8"/>
      <c r="J28" s="8"/>
    </row>
    <row r="29" spans="1:10" x14ac:dyDescent="0.2">
      <c r="A29" s="5">
        <v>3</v>
      </c>
      <c r="B29" s="6" t="s">
        <v>17</v>
      </c>
      <c r="C29">
        <v>3</v>
      </c>
      <c r="D29" s="9" cm="1">
        <f t="array" ref="D29">(C29-1)*6 + VLOOKUP(Messwerte[[#This Row],[Halterung]]&amp;Messwerte[[#This Row],[Orientierung]],CHOOSE({1,2},Grundabstand[Halterung]&amp;Grundabstand[Orientierung],Grundabstand[Grundabstand]),2,0)+25.5</f>
        <v>42</v>
      </c>
      <c r="E29" s="8">
        <v>136.450568</v>
      </c>
      <c r="F29" s="8">
        <v>7.3700000000000002E-2</v>
      </c>
      <c r="G29" s="9">
        <v>23.8</v>
      </c>
      <c r="H29" s="9">
        <v>980.9</v>
      </c>
      <c r="I29" s="8"/>
      <c r="J29" s="8"/>
    </row>
    <row r="30" spans="1:10" x14ac:dyDescent="0.2">
      <c r="A30" s="5">
        <v>3</v>
      </c>
      <c r="B30" s="6" t="s">
        <v>17</v>
      </c>
      <c r="C30">
        <v>2</v>
      </c>
      <c r="D30" s="9" cm="1">
        <f t="array" ref="D30">(C30-1)*6 + VLOOKUP(Messwerte[[#This Row],[Halterung]]&amp;Messwerte[[#This Row],[Orientierung]],CHOOSE({1,2},Grundabstand[Halterung]&amp;Grundabstand[Orientierung],Grundabstand[Grundabstand]),2,0)+25.5</f>
        <v>36</v>
      </c>
      <c r="E30" s="8">
        <v>161.843253</v>
      </c>
      <c r="F30" s="8">
        <v>7.6399999999999996E-2</v>
      </c>
      <c r="G30" s="9">
        <v>23.8</v>
      </c>
      <c r="H30" s="9">
        <v>980.9</v>
      </c>
      <c r="I30" s="8"/>
      <c r="J30" s="8"/>
    </row>
    <row r="31" spans="1:10" x14ac:dyDescent="0.2">
      <c r="A31" s="5">
        <v>3</v>
      </c>
      <c r="B31" s="6" t="s">
        <v>17</v>
      </c>
      <c r="C31">
        <v>1</v>
      </c>
      <c r="D31" s="9" cm="1">
        <f t="array" ref="D31">(C31-1)*6 + VLOOKUP(Messwerte[[#This Row],[Halterung]]&amp;Messwerte[[#This Row],[Orientierung]],CHOOSE({1,2},Grundabstand[Halterung]&amp;Grundabstand[Orientierung],Grundabstand[Grundabstand]),2,0)+25.5</f>
        <v>30</v>
      </c>
      <c r="E31" s="8">
        <v>190.807222</v>
      </c>
      <c r="F31" s="8">
        <v>0.1</v>
      </c>
      <c r="G31" s="9">
        <v>23.8</v>
      </c>
      <c r="H31" s="9">
        <v>980.9</v>
      </c>
      <c r="I31" s="8"/>
      <c r="J31" s="8"/>
    </row>
    <row r="32" spans="1:10" x14ac:dyDescent="0.2">
      <c r="A32" s="5">
        <v>4</v>
      </c>
      <c r="B32" s="6" t="s">
        <v>18</v>
      </c>
      <c r="C32">
        <v>5</v>
      </c>
      <c r="D32" s="9" cm="1">
        <f t="array" ref="D32">(C32-1)*6 + VLOOKUP(Messwerte[[#This Row],[Halterung]]&amp;Messwerte[[#This Row],[Orientierung]],CHOOSE({1,2},Grundabstand[Halterung]&amp;Grundabstand[Orientierung],Grundabstand[Grundabstand]),2,0)+25.5</f>
        <v>55</v>
      </c>
      <c r="E32" s="8">
        <v>92.527242999999999</v>
      </c>
      <c r="F32" s="8">
        <v>5.96E-2</v>
      </c>
      <c r="G32" s="9">
        <v>23.8</v>
      </c>
      <c r="H32" s="9">
        <v>980.9</v>
      </c>
      <c r="I32" s="8"/>
      <c r="J32" s="8"/>
    </row>
    <row r="33" spans="1:10" x14ac:dyDescent="0.2">
      <c r="A33" s="5">
        <v>4</v>
      </c>
      <c r="B33" s="6" t="s">
        <v>18</v>
      </c>
      <c r="C33">
        <v>4</v>
      </c>
      <c r="D33" s="9" cm="1">
        <f t="array" ref="D33">(C33-1)*6 + VLOOKUP(Messwerte[[#This Row],[Halterung]]&amp;Messwerte[[#This Row],[Orientierung]],CHOOSE({1,2},Grundabstand[Halterung]&amp;Grundabstand[Orientierung],Grundabstand[Grundabstand]),2,0)+25.5</f>
        <v>49</v>
      </c>
      <c r="E33" s="8">
        <v>111.857196</v>
      </c>
      <c r="F33" s="8">
        <v>6.3700000000000007E-2</v>
      </c>
      <c r="G33" s="9">
        <v>23.8</v>
      </c>
      <c r="H33" s="9">
        <v>980.9</v>
      </c>
      <c r="I33" s="8"/>
      <c r="J33" s="8"/>
    </row>
    <row r="34" spans="1:10" x14ac:dyDescent="0.2">
      <c r="A34" s="5">
        <v>4</v>
      </c>
      <c r="B34" s="6" t="s">
        <v>18</v>
      </c>
      <c r="C34">
        <v>3</v>
      </c>
      <c r="D34" s="9" cm="1">
        <f t="array" ref="D34">(C34-1)*6 + VLOOKUP(Messwerte[[#This Row],[Halterung]]&amp;Messwerte[[#This Row],[Orientierung]],CHOOSE({1,2},Grundabstand[Halterung]&amp;Grundabstand[Orientierung],Grundabstand[Grundabstand]),2,0)+25.5</f>
        <v>43</v>
      </c>
      <c r="E34" s="8">
        <v>133.07054199999999</v>
      </c>
      <c r="F34" s="8">
        <v>8.09E-2</v>
      </c>
      <c r="G34" s="9">
        <v>23.8</v>
      </c>
      <c r="H34" s="9">
        <v>980.9</v>
      </c>
      <c r="I34" s="8"/>
      <c r="J34" s="8"/>
    </row>
    <row r="35" spans="1:10" x14ac:dyDescent="0.2">
      <c r="A35" s="5">
        <v>4</v>
      </c>
      <c r="B35" s="6" t="s">
        <v>18</v>
      </c>
      <c r="C35">
        <v>2</v>
      </c>
      <c r="D35" s="9" cm="1">
        <f t="array" ref="D35">(C35-1)*6 + VLOOKUP(Messwerte[[#This Row],[Halterung]]&amp;Messwerte[[#This Row],[Orientierung]],CHOOSE({1,2},Grundabstand[Halterung]&amp;Grundabstand[Orientierung],Grundabstand[Grundabstand]),2,0)+25.5</f>
        <v>37</v>
      </c>
      <c r="E35" s="8">
        <v>157.37243100000001</v>
      </c>
      <c r="F35" s="8">
        <v>7.9899999999999999E-2</v>
      </c>
      <c r="G35" s="9">
        <v>23.8</v>
      </c>
      <c r="H35" s="9">
        <v>980.9</v>
      </c>
      <c r="I35" s="8"/>
      <c r="J35" s="8"/>
    </row>
    <row r="36" spans="1:10" x14ac:dyDescent="0.2">
      <c r="A36" s="5">
        <v>4</v>
      </c>
      <c r="B36" s="6" t="s">
        <v>18</v>
      </c>
      <c r="C36">
        <v>1</v>
      </c>
      <c r="D36" s="9" cm="1">
        <f t="array" ref="D36">(C36-1)*6 + VLOOKUP(Messwerte[[#This Row],[Halterung]]&amp;Messwerte[[#This Row],[Orientierung]],CHOOSE({1,2},Grundabstand[Halterung]&amp;Grundabstand[Orientierung],Grundabstand[Grundabstand]),2,0)+25.5</f>
        <v>31</v>
      </c>
      <c r="E36" s="8">
        <v>185.59999049999999</v>
      </c>
      <c r="F36" s="8">
        <v>9.2700000000000005E-2</v>
      </c>
      <c r="G36" s="9">
        <v>23.8</v>
      </c>
      <c r="H36" s="9">
        <v>980.9</v>
      </c>
      <c r="I36" s="8"/>
      <c r="J36" s="8"/>
    </row>
    <row r="37" spans="1:10" x14ac:dyDescent="0.2">
      <c r="A37" s="5">
        <v>4</v>
      </c>
      <c r="B37" s="6" t="s">
        <v>17</v>
      </c>
      <c r="C37">
        <v>5</v>
      </c>
      <c r="D37" s="9" cm="1">
        <f t="array" ref="D37">(C37-1)*6 + VLOOKUP(Messwerte[[#This Row],[Halterung]]&amp;Messwerte[[#This Row],[Orientierung]],CHOOSE({1,2},Grundabstand[Halterung]&amp;Grundabstand[Orientierung],Grundabstand[Grundabstand]),2,0)+25.5</f>
        <v>54.5</v>
      </c>
      <c r="E37" s="8">
        <v>94.974608000000003</v>
      </c>
      <c r="F37" s="8">
        <v>6.7599999999999993E-2</v>
      </c>
      <c r="G37" s="9">
        <v>23.8</v>
      </c>
      <c r="H37" s="9">
        <v>980.9</v>
      </c>
      <c r="I37" s="8"/>
      <c r="J37" s="8"/>
    </row>
    <row r="38" spans="1:10" x14ac:dyDescent="0.2">
      <c r="A38" s="5">
        <v>4</v>
      </c>
      <c r="B38" s="6" t="s">
        <v>17</v>
      </c>
      <c r="C38">
        <v>4</v>
      </c>
      <c r="D38" s="9" cm="1">
        <f t="array" ref="D38">(C38-1)*6 + VLOOKUP(Messwerte[[#This Row],[Halterung]]&amp;Messwerte[[#This Row],[Orientierung]],CHOOSE({1,2},Grundabstand[Halterung]&amp;Grundabstand[Orientierung],Grundabstand[Grundabstand]),2,0)+25.5</f>
        <v>48.5</v>
      </c>
      <c r="E38" s="8">
        <v>113.37122100000001</v>
      </c>
      <c r="F38" s="8">
        <v>6.5500000000000003E-2</v>
      </c>
      <c r="G38" s="9">
        <v>23.8</v>
      </c>
      <c r="H38" s="9">
        <v>980.9</v>
      </c>
      <c r="I38" s="8"/>
      <c r="J38" s="8"/>
    </row>
    <row r="39" spans="1:10" x14ac:dyDescent="0.2">
      <c r="A39" s="5">
        <v>4</v>
      </c>
      <c r="B39" s="6" t="s">
        <v>17</v>
      </c>
      <c r="C39">
        <v>3</v>
      </c>
      <c r="D39" s="9" cm="1">
        <f t="array" ref="D39">(C39-1)*6 + VLOOKUP(Messwerte[[#This Row],[Halterung]]&amp;Messwerte[[#This Row],[Orientierung]],CHOOSE({1,2},Grundabstand[Halterung]&amp;Grundabstand[Orientierung],Grundabstand[Grundabstand]),2,0)+25.5</f>
        <v>42.5</v>
      </c>
      <c r="E39" s="8">
        <v>134.28056599999999</v>
      </c>
      <c r="F39" s="8">
        <v>8.43E-2</v>
      </c>
      <c r="G39" s="9">
        <v>23.8</v>
      </c>
      <c r="H39" s="9">
        <v>980.9</v>
      </c>
      <c r="I39" s="8"/>
      <c r="J39" s="8"/>
    </row>
    <row r="40" spans="1:10" x14ac:dyDescent="0.2">
      <c r="A40" s="5">
        <v>4</v>
      </c>
      <c r="B40" s="6" t="s">
        <v>17</v>
      </c>
      <c r="C40">
        <v>2</v>
      </c>
      <c r="D40" s="9" cm="1">
        <f t="array" ref="D40">(C40-1)*6 + VLOOKUP(Messwerte[[#This Row],[Halterung]]&amp;Messwerte[[#This Row],[Orientierung]],CHOOSE({1,2},Grundabstand[Halterung]&amp;Grundabstand[Orientierung],Grundabstand[Grundabstand]),2,0)+25.5</f>
        <v>36.5</v>
      </c>
      <c r="E40" s="8">
        <v>159.115013</v>
      </c>
      <c r="F40" s="8">
        <v>9.3600000000000003E-2</v>
      </c>
      <c r="G40" s="9">
        <v>23.8</v>
      </c>
      <c r="H40" s="9">
        <v>980.9</v>
      </c>
      <c r="I40" s="8"/>
      <c r="J40" s="8"/>
    </row>
    <row r="41" spans="1:10" x14ac:dyDescent="0.2">
      <c r="A41" s="5">
        <v>4</v>
      </c>
      <c r="B41" s="6" t="s">
        <v>17</v>
      </c>
      <c r="C41">
        <v>1</v>
      </c>
      <c r="D41" s="9" cm="1">
        <f t="array" ref="D41">(C41-1)*6 + VLOOKUP(Messwerte[[#This Row],[Halterung]]&amp;Messwerte[[#This Row],[Orientierung]],CHOOSE({1,2},Grundabstand[Halterung]&amp;Grundabstand[Orientierung],Grundabstand[Grundabstand]),2,0)+25.5</f>
        <v>30.5</v>
      </c>
      <c r="E41" s="8">
        <v>188.11740270000001</v>
      </c>
      <c r="F41" s="8">
        <v>9.0200000000000002E-2</v>
      </c>
      <c r="G41" s="9">
        <v>23.8</v>
      </c>
      <c r="H41" s="9">
        <v>980.9</v>
      </c>
      <c r="I41" s="8"/>
      <c r="J41" s="8"/>
    </row>
    <row r="42" spans="1:10" x14ac:dyDescent="0.2">
      <c r="A42" s="5">
        <v>5</v>
      </c>
      <c r="B42" s="6" t="s">
        <v>18</v>
      </c>
      <c r="C42">
        <v>4</v>
      </c>
      <c r="D42" s="9" cm="1">
        <f t="array" ref="D42">(C42-1)*6 + VLOOKUP(Messwerte[[#This Row],[Halterung]]&amp;Messwerte[[#This Row],[Orientierung]],CHOOSE({1,2},Grundabstand[Halterung]&amp;Grundabstand[Orientierung],Grundabstand[Grundabstand]),2,0)+25.5</f>
        <v>52</v>
      </c>
      <c r="E42" s="8">
        <v>101.56360100000001</v>
      </c>
      <c r="F42" s="8">
        <v>6.0100000000000001E-2</v>
      </c>
      <c r="G42" s="9">
        <v>23.8</v>
      </c>
      <c r="H42" s="9">
        <v>980.9</v>
      </c>
      <c r="I42" s="8"/>
      <c r="J42" s="8"/>
    </row>
    <row r="43" spans="1:10" x14ac:dyDescent="0.2">
      <c r="A43" s="5">
        <v>5</v>
      </c>
      <c r="B43" s="6" t="s">
        <v>18</v>
      </c>
      <c r="C43">
        <v>3</v>
      </c>
      <c r="D43" s="9" cm="1">
        <f t="array" ref="D43">(C43-1)*6 + VLOOKUP(Messwerte[[#This Row],[Halterung]]&amp;Messwerte[[#This Row],[Orientierung]],CHOOSE({1,2},Grundabstand[Halterung]&amp;Grundabstand[Orientierung],Grundabstand[Grundabstand]),2,0)+25.5</f>
        <v>46</v>
      </c>
      <c r="E43" s="8">
        <v>121.173587</v>
      </c>
      <c r="F43" s="8">
        <v>6.0499999999999998E-2</v>
      </c>
      <c r="G43" s="9">
        <v>23.8</v>
      </c>
      <c r="H43" s="9">
        <v>980.9</v>
      </c>
      <c r="I43" s="8"/>
      <c r="J43" s="8"/>
    </row>
    <row r="44" spans="1:10" x14ac:dyDescent="0.2">
      <c r="A44" s="5">
        <v>5</v>
      </c>
      <c r="B44" s="6" t="s">
        <v>18</v>
      </c>
      <c r="C44">
        <v>2</v>
      </c>
      <c r="D44" s="9" cm="1">
        <f t="array" ref="D44">(C44-1)*6 + VLOOKUP(Messwerte[[#This Row],[Halterung]]&amp;Messwerte[[#This Row],[Orientierung]],CHOOSE({1,2},Grundabstand[Halterung]&amp;Grundabstand[Orientierung],Grundabstand[Grundabstand]),2,0)+25.5</f>
        <v>40</v>
      </c>
      <c r="E44" s="8">
        <v>143.75535300000001</v>
      </c>
      <c r="F44" s="8">
        <v>7.2400000000000006E-2</v>
      </c>
      <c r="G44" s="9">
        <v>23.8</v>
      </c>
      <c r="H44" s="9">
        <v>980.9</v>
      </c>
      <c r="I44" s="8"/>
      <c r="J44" s="8"/>
    </row>
    <row r="45" spans="1:10" x14ac:dyDescent="0.2">
      <c r="A45" s="5">
        <v>5</v>
      </c>
      <c r="B45" s="6" t="s">
        <v>18</v>
      </c>
      <c r="C45">
        <v>1</v>
      </c>
      <c r="D45" s="9" cm="1">
        <f t="array" ref="D45">(C45-1)*6 + VLOOKUP(Messwerte[[#This Row],[Halterung]]&amp;Messwerte[[#This Row],[Orientierung]],CHOOSE({1,2},Grundabstand[Halterung]&amp;Grundabstand[Orientierung],Grundabstand[Grundabstand]),2,0)+25.5</f>
        <v>34</v>
      </c>
      <c r="E45" s="8">
        <v>170.23018300000001</v>
      </c>
      <c r="F45" s="8">
        <v>7.6799999999999993E-2</v>
      </c>
      <c r="G45" s="9">
        <v>23.8</v>
      </c>
      <c r="H45" s="9">
        <v>980.9</v>
      </c>
      <c r="I45" s="8"/>
      <c r="J45" s="8"/>
    </row>
    <row r="46" spans="1:10" x14ac:dyDescent="0.2">
      <c r="A46" s="5">
        <v>5</v>
      </c>
      <c r="B46" s="6" t="s">
        <v>17</v>
      </c>
      <c r="C46">
        <v>4</v>
      </c>
      <c r="D46" s="9" cm="1">
        <f t="array" ref="D46">(C46-1)*6 + VLOOKUP(Messwerte[[#This Row],[Halterung]]&amp;Messwerte[[#This Row],[Orientierung]],CHOOSE({1,2},Grundabstand[Halterung]&amp;Grundabstand[Orientierung],Grundabstand[Grundabstand]),2,0)+25.5</f>
        <v>51.5</v>
      </c>
      <c r="E46" s="8">
        <v>103.04505</v>
      </c>
      <c r="F46" s="8">
        <v>6.9400000000000003E-2</v>
      </c>
      <c r="G46" s="9">
        <v>23.8</v>
      </c>
      <c r="H46" s="9">
        <v>980.9</v>
      </c>
      <c r="I46" s="8"/>
      <c r="J46" s="8"/>
    </row>
    <row r="47" spans="1:10" x14ac:dyDescent="0.2">
      <c r="A47" s="5">
        <v>5</v>
      </c>
      <c r="B47" s="6" t="s">
        <v>17</v>
      </c>
      <c r="C47">
        <v>3</v>
      </c>
      <c r="D47" s="9" cm="1">
        <f t="array" ref="D47">(C47-1)*6 + VLOOKUP(Messwerte[[#This Row],[Halterung]]&amp;Messwerte[[#This Row],[Orientierung]],CHOOSE({1,2},Grundabstand[Halterung]&amp;Grundabstand[Orientierung],Grundabstand[Grundabstand]),2,0)+25.5</f>
        <v>45.5</v>
      </c>
      <c r="E47" s="8">
        <v>123.59850400000001</v>
      </c>
      <c r="F47" s="8">
        <v>7.4499999999999997E-2</v>
      </c>
      <c r="G47" s="9">
        <v>23.8</v>
      </c>
      <c r="H47" s="9">
        <v>980.9</v>
      </c>
      <c r="I47" s="8"/>
      <c r="J47" s="8"/>
    </row>
    <row r="48" spans="1:10" x14ac:dyDescent="0.2">
      <c r="A48" s="5">
        <v>5</v>
      </c>
      <c r="B48" s="6" t="s">
        <v>17</v>
      </c>
      <c r="C48">
        <v>2</v>
      </c>
      <c r="D48" s="9" cm="1">
        <f t="array" ref="D48">(C48-1)*6 + VLOOKUP(Messwerte[[#This Row],[Halterung]]&amp;Messwerte[[#This Row],[Orientierung]],CHOOSE({1,2},Grundabstand[Halterung]&amp;Grundabstand[Orientierung],Grundabstand[Grundabstand]),2,0)+25.5</f>
        <v>39.5</v>
      </c>
      <c r="E48" s="8">
        <v>146.648494</v>
      </c>
      <c r="F48" s="8">
        <v>8.5699999999999998E-2</v>
      </c>
      <c r="G48" s="9">
        <v>23.8</v>
      </c>
      <c r="H48" s="9">
        <v>980.9</v>
      </c>
      <c r="I48" s="8"/>
      <c r="J48" s="8"/>
    </row>
    <row r="49" spans="1:10" x14ac:dyDescent="0.2">
      <c r="A49" s="5">
        <v>5</v>
      </c>
      <c r="B49" s="6" t="s">
        <v>17</v>
      </c>
      <c r="C49">
        <v>1</v>
      </c>
      <c r="D49" s="9" cm="1">
        <f t="array" ref="D49">(C49-1)*6 + VLOOKUP(Messwerte[[#This Row],[Halterung]]&amp;Messwerte[[#This Row],[Orientierung]],CHOOSE({1,2},Grundabstand[Halterung]&amp;Grundabstand[Orientierung],Grundabstand[Grundabstand]),2,0)+25.5</f>
        <v>33.5</v>
      </c>
      <c r="E49" s="8">
        <v>172.67513199999999</v>
      </c>
      <c r="F49" s="8">
        <v>9.5600000000000004E-2</v>
      </c>
      <c r="G49" s="9">
        <v>23.8</v>
      </c>
      <c r="H49" s="9">
        <v>980.9</v>
      </c>
      <c r="I49" s="8"/>
      <c r="J49" s="8"/>
    </row>
    <row r="50" spans="1:10" x14ac:dyDescent="0.2">
      <c r="A50" s="5">
        <v>6</v>
      </c>
      <c r="B50" s="6" t="s">
        <v>18</v>
      </c>
      <c r="C50">
        <v>4</v>
      </c>
      <c r="D50" s="9" cm="1">
        <f t="array" ref="D50">(C50-1)*6 + VLOOKUP(Messwerte[[#This Row],[Halterung]]&amp;Messwerte[[#This Row],[Orientierung]],CHOOSE({1,2},Grundabstand[Halterung]&amp;Grundabstand[Orientierung],Grundabstand[Grundabstand]),2,0)+25.5</f>
        <v>52.5</v>
      </c>
      <c r="E50" s="8">
        <v>102.098448</v>
      </c>
      <c r="F50" s="8">
        <v>6.4500000000000002E-2</v>
      </c>
      <c r="G50" s="9">
        <v>23.8</v>
      </c>
      <c r="H50" s="9">
        <v>980.9</v>
      </c>
      <c r="I50" s="8"/>
      <c r="J50" s="8"/>
    </row>
    <row r="51" spans="1:10" x14ac:dyDescent="0.2">
      <c r="A51" s="5">
        <v>6</v>
      </c>
      <c r="B51" s="6" t="s">
        <v>18</v>
      </c>
      <c r="C51">
        <v>3</v>
      </c>
      <c r="D51" s="9" cm="1">
        <f t="array" ref="D51">(C51-1)*6 + VLOOKUP(Messwerte[[#This Row],[Halterung]]&amp;Messwerte[[#This Row],[Orientierung]],CHOOSE({1,2},Grundabstand[Halterung]&amp;Grundabstand[Orientierung],Grundabstand[Grundabstand]),2,0)+25.5</f>
        <v>46.5</v>
      </c>
      <c r="E51" s="8">
        <v>118.389589</v>
      </c>
      <c r="F51" s="8">
        <v>7.4200000000000002E-2</v>
      </c>
      <c r="G51" s="9">
        <v>23.8</v>
      </c>
      <c r="H51" s="9">
        <v>980.9</v>
      </c>
      <c r="I51" s="8"/>
      <c r="J51" s="8"/>
    </row>
    <row r="52" spans="1:10" x14ac:dyDescent="0.2">
      <c r="A52" s="5">
        <v>6</v>
      </c>
      <c r="B52" s="6" t="s">
        <v>18</v>
      </c>
      <c r="C52">
        <v>2</v>
      </c>
      <c r="D52" s="9" cm="1">
        <f t="array" ref="D52">(C52-1)*6 + VLOOKUP(Messwerte[[#This Row],[Halterung]]&amp;Messwerte[[#This Row],[Orientierung]],CHOOSE({1,2},Grundabstand[Halterung]&amp;Grundabstand[Orientierung],Grundabstand[Grundabstand]),2,0)+25.5</f>
        <v>40.5</v>
      </c>
      <c r="E52" s="8">
        <v>141.97636399999999</v>
      </c>
      <c r="F52" s="8">
        <v>8.2600000000000007E-2</v>
      </c>
      <c r="G52" s="9">
        <v>24</v>
      </c>
      <c r="H52" s="9">
        <v>980.9</v>
      </c>
      <c r="I52" s="8"/>
      <c r="J52" s="8"/>
    </row>
    <row r="53" spans="1:10" x14ac:dyDescent="0.2">
      <c r="A53" s="5">
        <v>6</v>
      </c>
      <c r="B53" s="6" t="s">
        <v>18</v>
      </c>
      <c r="C53">
        <v>1</v>
      </c>
      <c r="D53" s="9" cm="1">
        <f t="array" ref="D53">(C53-1)*6 + VLOOKUP(Messwerte[[#This Row],[Halterung]]&amp;Messwerte[[#This Row],[Orientierung]],CHOOSE({1,2},Grundabstand[Halterung]&amp;Grundabstand[Orientierung],Grundabstand[Grundabstand]),2,0)+25.5</f>
        <v>34.5</v>
      </c>
      <c r="E53" s="8">
        <v>167.870732</v>
      </c>
      <c r="F53" s="8">
        <v>8.0100000000000005E-2</v>
      </c>
      <c r="G53" s="9">
        <v>24</v>
      </c>
      <c r="H53" s="9">
        <v>980.9</v>
      </c>
      <c r="I53" s="8"/>
      <c r="J53" s="8"/>
    </row>
    <row r="54" spans="1:10" x14ac:dyDescent="0.2">
      <c r="A54" s="5">
        <v>6</v>
      </c>
      <c r="B54" s="6" t="s">
        <v>17</v>
      </c>
      <c r="C54">
        <v>4</v>
      </c>
      <c r="D54" s="9" cm="1">
        <f t="array" ref="D54">(C54-1)*6 + VLOOKUP(Messwerte[[#This Row],[Halterung]]&amp;Messwerte[[#This Row],[Orientierung]],CHOOSE({1,2},Grundabstand[Halterung]&amp;Grundabstand[Orientierung],Grundabstand[Grundabstand]),2,0)+25.5</f>
        <v>51</v>
      </c>
      <c r="E54" s="8">
        <v>105.24395800000001</v>
      </c>
      <c r="F54" s="8">
        <v>6.13E-2</v>
      </c>
      <c r="G54" s="9">
        <v>24</v>
      </c>
      <c r="H54" s="9">
        <v>980.9</v>
      </c>
      <c r="I54" s="8"/>
      <c r="J54" s="8"/>
    </row>
    <row r="55" spans="1:10" x14ac:dyDescent="0.2">
      <c r="A55" s="5">
        <v>6</v>
      </c>
      <c r="B55" s="6" t="s">
        <v>17</v>
      </c>
      <c r="C55">
        <v>3</v>
      </c>
      <c r="D55" s="9" cm="1">
        <f t="array" ref="D55">(C55-1)*6 + VLOOKUP(Messwerte[[#This Row],[Halterung]]&amp;Messwerte[[#This Row],[Orientierung]],CHOOSE({1,2},Grundabstand[Halterung]&amp;Grundabstand[Orientierung],Grundabstand[Grundabstand]),2,0)+25.5</f>
        <v>45</v>
      </c>
      <c r="E55" s="8">
        <v>128.46474900000001</v>
      </c>
      <c r="F55" s="8">
        <v>7.1900000000000006E-2</v>
      </c>
      <c r="G55" s="9">
        <v>24</v>
      </c>
      <c r="H55" s="9">
        <v>980.9</v>
      </c>
      <c r="I55" s="8"/>
      <c r="J55" s="8"/>
    </row>
    <row r="56" spans="1:10" x14ac:dyDescent="0.2">
      <c r="A56" s="5">
        <v>6</v>
      </c>
      <c r="B56" s="6" t="s">
        <v>17</v>
      </c>
      <c r="C56">
        <v>2</v>
      </c>
      <c r="D56" s="9" cm="1">
        <f t="array" ref="D56">(C56-1)*6 + VLOOKUP(Messwerte[[#This Row],[Halterung]]&amp;Messwerte[[#This Row],[Orientierung]],CHOOSE({1,2},Grundabstand[Halterung]&amp;Grundabstand[Orientierung],Grundabstand[Grundabstand]),2,0)+25.5</f>
        <v>39</v>
      </c>
      <c r="E56" s="8">
        <v>147.760977</v>
      </c>
      <c r="F56" s="8">
        <v>8.0600000000000005E-2</v>
      </c>
      <c r="G56" s="9">
        <v>24</v>
      </c>
      <c r="H56" s="9">
        <v>980.9</v>
      </c>
      <c r="I56" s="8"/>
      <c r="J56" s="8"/>
    </row>
    <row r="57" spans="1:10" x14ac:dyDescent="0.2">
      <c r="A57" s="5">
        <v>6</v>
      </c>
      <c r="B57" s="6" t="s">
        <v>17</v>
      </c>
      <c r="C57">
        <v>1</v>
      </c>
      <c r="D57" s="9" cm="1">
        <f t="array" ref="D57">(C57-1)*6 + VLOOKUP(Messwerte[[#This Row],[Halterung]]&amp;Messwerte[[#This Row],[Orientierung]],CHOOSE({1,2},Grundabstand[Halterung]&amp;Grundabstand[Orientierung],Grundabstand[Grundabstand]),2,0)+25.5</f>
        <v>33</v>
      </c>
      <c r="E57" s="8">
        <v>175.101787</v>
      </c>
      <c r="F57" s="8">
        <v>9.4299999999999995E-2</v>
      </c>
      <c r="G57" s="9">
        <v>24</v>
      </c>
      <c r="H57" s="9">
        <v>980.9</v>
      </c>
      <c r="I57" s="8"/>
      <c r="J57" s="8"/>
    </row>
  </sheetData>
  <phoneticPr fontId="2" type="noConversion"/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Grunddaten</vt:lpstr>
      <vt:lpstr>Grundabstand</vt:lpstr>
      <vt:lpstr>Messwerte</vt:lpstr>
      <vt:lpstr>Messwerte_Diagramm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Henning Manke</dc:creator>
  <cp:keywords/>
  <cp:lastModifiedBy>Henning Manke</cp:lastModifiedBy>
  <dcterms:created xsi:type="dcterms:W3CDTF">2021-07-21T14:15:39Z</dcterms:created>
  <dcterms:modified xsi:type="dcterms:W3CDTF">2022-10-24T11:45:32Z</dcterms:modified>
</cp:coreProperties>
</file>