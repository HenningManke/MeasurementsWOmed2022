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spezial/"/>
    </mc:Choice>
  </mc:AlternateContent>
  <xr:revisionPtr revIDLastSave="0" documentId="13_ncr:1_{79C8FD29-7133-3249-855C-67CF2537C015}" xr6:coauthVersionLast="47" xr6:coauthVersionMax="47" xr10:uidLastSave="{00000000-0000-0000-0000-000000000000}"/>
  <bookViews>
    <workbookView xWindow="0" yWindow="500" windowWidth="18540" windowHeight="17500" xr2:uid="{98879727-764E-3144-BB18-69468E0FAD2D}"/>
  </bookViews>
  <sheets>
    <sheet name="Grunddaten" sheetId="2" r:id="rId1"/>
    <sheet name="Messwerte" sheetId="1" r:id="rId2"/>
    <sheet name="Tabelle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3" l="1"/>
  <c r="B13" i="3"/>
  <c r="A13" i="3"/>
  <c r="C12" i="3"/>
  <c r="B12" i="3"/>
  <c r="A12" i="3"/>
  <c r="C11" i="3"/>
  <c r="B11" i="3"/>
  <c r="A11" i="3"/>
  <c r="C10" i="3"/>
  <c r="B10" i="3"/>
  <c r="A10" i="3"/>
  <c r="C9" i="3"/>
  <c r="B9" i="3"/>
  <c r="A9" i="3"/>
  <c r="C8" i="3"/>
  <c r="B8" i="3"/>
  <c r="A8" i="3"/>
  <c r="C7" i="3"/>
  <c r="B7" i="3"/>
  <c r="A7" i="3"/>
  <c r="C6" i="3"/>
  <c r="B6" i="3"/>
  <c r="A6" i="3"/>
  <c r="C5" i="3"/>
  <c r="B5" i="3"/>
  <c r="A5" i="3"/>
  <c r="C4" i="3"/>
  <c r="B4" i="3"/>
  <c r="A4" i="3"/>
  <c r="C3" i="3"/>
  <c r="B3" i="3"/>
  <c r="A3" i="3"/>
  <c r="C2" i="3"/>
  <c r="B2" i="3"/>
  <c r="A2" i="3"/>
  <c r="D3" i="1"/>
  <c r="D4" i="1"/>
  <c r="D5" i="1"/>
  <c r="D6" i="1"/>
  <c r="D7" i="1"/>
  <c r="D8" i="1"/>
  <c r="D9" i="1"/>
  <c r="D10" i="1"/>
  <c r="D11" i="1"/>
  <c r="D12" i="1"/>
  <c r="D13" i="1"/>
  <c r="D2" i="1"/>
  <c r="B14" i="2" l="1"/>
  <c r="B16" i="2" s="1"/>
</calcChain>
</file>

<file path=xl/sharedStrings.xml><?xml version="1.0" encoding="utf-8"?>
<sst xmlns="http://schemas.openxmlformats.org/spreadsheetml/2006/main" count="42" uniqueCount="38">
  <si>
    <t>Strom</t>
  </si>
  <si>
    <t>Messung 1 / mGy</t>
  </si>
  <si>
    <t>Messung 2 / mGy</t>
  </si>
  <si>
    <t>Messung 3 / mGy</t>
  </si>
  <si>
    <t>Datum</t>
  </si>
  <si>
    <t>Detektor</t>
  </si>
  <si>
    <t>Weichstrahlkammer</t>
  </si>
  <si>
    <t>Einstellungen Detektor und Dosimeter</t>
  </si>
  <si>
    <t>Spannung / V</t>
  </si>
  <si>
    <t>Messbereich</t>
  </si>
  <si>
    <t>LOW</t>
  </si>
  <si>
    <t>Integrationszeit / s</t>
  </si>
  <si>
    <t>Dicke der Kammer / mm</t>
  </si>
  <si>
    <t>Unsicherheiten</t>
  </si>
  <si>
    <t>Kalibrierfaktor Kammer / %</t>
  </si>
  <si>
    <t>Unidos Romeo / %</t>
  </si>
  <si>
    <t>Gesamtunsicherheit / %</t>
  </si>
  <si>
    <t>Strahlungsquelle</t>
  </si>
  <si>
    <t>d2 / 15</t>
  </si>
  <si>
    <t>Fehler / %</t>
  </si>
  <si>
    <t>Strahlspannung</t>
  </si>
  <si>
    <t>Feldgröße - Applikatordurchmesser / mm</t>
  </si>
  <si>
    <t>Strom / mA</t>
  </si>
  <si>
    <t>Filtermaterial</t>
  </si>
  <si>
    <t>Filterdicke</t>
  </si>
  <si>
    <t>variiert</t>
  </si>
  <si>
    <t>Temperatur</t>
  </si>
  <si>
    <t>Luftdruck</t>
  </si>
  <si>
    <t>Röhrennummer</t>
  </si>
  <si>
    <t>Einstrahlrichtung</t>
  </si>
  <si>
    <t>CCB</t>
  </si>
  <si>
    <t>ID</t>
  </si>
  <si>
    <t>nicht vorhanden</t>
  </si>
  <si>
    <t>Dosis / mGy</t>
  </si>
  <si>
    <t>Fehler / mGy</t>
  </si>
  <si>
    <t>Tiefe / mm</t>
  </si>
  <si>
    <t>Plexiglas / mm</t>
  </si>
  <si>
    <t>Spannung / 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</si>
</sst>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1" fillId="0" borderId="0" xfId="0" applyFont="1"/>
    <xf numFmtId="164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right"/>
    </xf>
    <xf numFmtId="164" fontId="0" fillId="0" borderId="0" xfId="0" applyNumberFormat="1" applyFont="1"/>
    <xf numFmtId="2" fontId="0" fillId="0" borderId="0" xfId="0" applyNumberFormat="1" applyFont="1"/>
    <xf numFmtId="0" fontId="0" fillId="0" borderId="0" xfId="0" applyAlignment="1">
      <alignment horizontal="center" wrapText="1"/>
    </xf>
  </cellXfs>
  <cellStyles count="1">
    <cellStyle name="Standard" xfId="0" builtinId="0"/>
  </cellStyles>
  <dxfs count="3"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3137-AFF8-C64F-82D7-DF601BEBF709}" name="Tabelle1" displayName="Tabelle1" ref="A1:I13" totalsRowShown="0">
  <autoFilter ref="A1:I13" xr:uid="{9FC33137-AFF8-C64F-82D7-DF601BEBF7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DDBDB4E-E961-F64A-912C-B78F7E4F392D}" name="Spannung / kV"/>
    <tableColumn id="2" xr3:uid="{607F5D84-2CE0-8A49-94C8-C8B817386719}" name="Strom"/>
    <tableColumn id="3" xr3:uid="{C10662DE-35E5-3B4B-B9ED-8EE08916A606}" name="Plexiglas / mm"/>
    <tableColumn id="12" xr3:uid="{8F1A7800-E37F-CE47-B747-63AF21EB7FF6}" name="Tiefe / mm">
      <calculatedColumnFormula>Tabelle1[[#This Row],[Plexiglas / mm]]+0.2</calculatedColumnFormula>
    </tableColumn>
    <tableColumn id="4" xr3:uid="{70383D8C-53F6-8248-922A-53F98CF003D4}" name="Messung 1 / mGy" dataDxfId="2"/>
    <tableColumn id="5" xr3:uid="{54861A1F-381C-9E4B-8133-116811324754}" name="Messung 2 / mGy" dataDxfId="1"/>
    <tableColumn id="6" xr3:uid="{C4D2F394-DD85-7948-AFED-AF811CFB4F19}" name="Messung 3 / mGy" dataDxfId="0"/>
    <tableColumn id="10" xr3:uid="{8AEA3F89-9508-AA42-A335-34CFFA572ADF}" name="Temperatur"/>
    <tableColumn id="11" xr3:uid="{7EDE88C8-B2AB-4D40-A585-FD5E27C35619}" name="Luftdruc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33D1B-D979-A944-BDAF-0958CDDCE978}">
  <sheetPr codeName="Tabelle1"/>
  <dimension ref="A1:D27"/>
  <sheetViews>
    <sheetView tabSelected="1" topLeftCell="A2" workbookViewId="0">
      <selection activeCell="B11" sqref="B11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3.83203125" customWidth="1"/>
    <col min="4" max="4" width="5.33203125" bestFit="1" customWidth="1"/>
  </cols>
  <sheetData>
    <row r="1" spans="1:4" x14ac:dyDescent="0.2">
      <c r="A1" t="s">
        <v>4</v>
      </c>
      <c r="B1" s="4">
        <v>44691</v>
      </c>
    </row>
    <row r="2" spans="1:4" x14ac:dyDescent="0.2">
      <c r="A2" t="s">
        <v>5</v>
      </c>
      <c r="B2" s="5" t="s">
        <v>6</v>
      </c>
    </row>
    <row r="3" spans="1:4" x14ac:dyDescent="0.2">
      <c r="A3" t="s">
        <v>29</v>
      </c>
      <c r="B3" s="5" t="s">
        <v>32</v>
      </c>
    </row>
    <row r="4" spans="1:4" x14ac:dyDescent="0.2">
      <c r="A4" t="s">
        <v>30</v>
      </c>
      <c r="B4" s="5" t="s">
        <v>32</v>
      </c>
    </row>
    <row r="5" spans="1:4" x14ac:dyDescent="0.2">
      <c r="A5" t="s">
        <v>31</v>
      </c>
      <c r="B5" s="5">
        <v>36</v>
      </c>
    </row>
    <row r="6" spans="1:4" x14ac:dyDescent="0.2">
      <c r="B6" s="5"/>
    </row>
    <row r="7" spans="1:4" x14ac:dyDescent="0.2">
      <c r="A7" s="2" t="s">
        <v>7</v>
      </c>
      <c r="B7" s="5"/>
    </row>
    <row r="8" spans="1:4" x14ac:dyDescent="0.2">
      <c r="A8" t="s">
        <v>8</v>
      </c>
      <c r="B8" s="5">
        <v>400</v>
      </c>
    </row>
    <row r="9" spans="1:4" x14ac:dyDescent="0.2">
      <c r="A9" t="s">
        <v>9</v>
      </c>
      <c r="B9" s="5" t="s">
        <v>10</v>
      </c>
      <c r="C9" s="10"/>
      <c r="D9" s="6"/>
    </row>
    <row r="10" spans="1:4" x14ac:dyDescent="0.2">
      <c r="A10" t="s">
        <v>11</v>
      </c>
      <c r="B10" s="5">
        <v>60</v>
      </c>
      <c r="C10" s="10"/>
      <c r="D10" s="6"/>
    </row>
    <row r="11" spans="1:4" x14ac:dyDescent="0.2">
      <c r="A11" t="s">
        <v>12</v>
      </c>
      <c r="B11" s="5">
        <v>8</v>
      </c>
    </row>
    <row r="12" spans="1:4" x14ac:dyDescent="0.2">
      <c r="A12" s="2"/>
      <c r="B12" s="5"/>
    </row>
    <row r="13" spans="1:4" x14ac:dyDescent="0.2">
      <c r="A13" s="2" t="s">
        <v>13</v>
      </c>
      <c r="B13" s="5"/>
    </row>
    <row r="14" spans="1:4" x14ac:dyDescent="0.2">
      <c r="A14" t="s">
        <v>14</v>
      </c>
      <c r="B14" s="5" t="e">
        <f>IF(#REF! = "TW 15", 2.2/2,2.1/2)</f>
        <v>#REF!</v>
      </c>
    </row>
    <row r="15" spans="1:4" x14ac:dyDescent="0.2">
      <c r="A15" t="s">
        <v>15</v>
      </c>
      <c r="B15" s="5">
        <v>0.5</v>
      </c>
    </row>
    <row r="16" spans="1:4" x14ac:dyDescent="0.2">
      <c r="A16" t="s">
        <v>16</v>
      </c>
      <c r="B16" s="7" t="e">
        <f>SQRT(B14^2+B15^2)</f>
        <v>#REF!</v>
      </c>
    </row>
    <row r="17" spans="1:2" x14ac:dyDescent="0.2">
      <c r="B17" s="5"/>
    </row>
    <row r="18" spans="1:2" x14ac:dyDescent="0.2">
      <c r="A18" s="2" t="s">
        <v>17</v>
      </c>
      <c r="B18" s="5"/>
    </row>
    <row r="19" spans="1:2" x14ac:dyDescent="0.2">
      <c r="A19" t="s">
        <v>28</v>
      </c>
      <c r="B19" s="5">
        <v>2</v>
      </c>
    </row>
    <row r="20" spans="1:2" x14ac:dyDescent="0.2">
      <c r="A20" t="s">
        <v>20</v>
      </c>
      <c r="B20" s="5" t="s">
        <v>25</v>
      </c>
    </row>
    <row r="21" spans="1:2" x14ac:dyDescent="0.2">
      <c r="A21" t="s">
        <v>21</v>
      </c>
      <c r="B21" s="5" t="s">
        <v>18</v>
      </c>
    </row>
    <row r="22" spans="1:2" x14ac:dyDescent="0.2">
      <c r="A22" t="s">
        <v>22</v>
      </c>
      <c r="B22" s="5" t="s">
        <v>25</v>
      </c>
    </row>
    <row r="23" spans="1:2" x14ac:dyDescent="0.2">
      <c r="A23" t="s">
        <v>23</v>
      </c>
      <c r="B23" s="5" t="s">
        <v>25</v>
      </c>
    </row>
    <row r="24" spans="1:2" x14ac:dyDescent="0.2">
      <c r="A24" t="s">
        <v>24</v>
      </c>
      <c r="B24" s="5" t="s">
        <v>25</v>
      </c>
    </row>
    <row r="25" spans="1:2" x14ac:dyDescent="0.2">
      <c r="B25" s="5"/>
    </row>
    <row r="26" spans="1:2" x14ac:dyDescent="0.2">
      <c r="B26" s="5"/>
    </row>
    <row r="27" spans="1:2" x14ac:dyDescent="0.2">
      <c r="B27" s="5"/>
    </row>
  </sheetData>
  <mergeCells count="1">
    <mergeCell ref="C9:C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E5AE4-EE66-F44B-942E-07AC5C5741E3}">
  <sheetPr codeName="Tabelle2"/>
  <dimension ref="A1:I17"/>
  <sheetViews>
    <sheetView workbookViewId="0">
      <selection activeCell="L16" sqref="L16"/>
    </sheetView>
  </sheetViews>
  <sheetFormatPr baseColWidth="10" defaultRowHeight="16" x14ac:dyDescent="0.2"/>
  <cols>
    <col min="1" max="1" width="14.6640625" customWidth="1"/>
    <col min="2" max="2" width="8.5" customWidth="1"/>
    <col min="3" max="3" width="8.5" bestFit="1" customWidth="1"/>
    <col min="4" max="4" width="5.33203125" bestFit="1" customWidth="1"/>
    <col min="5" max="6" width="18.33203125" bestFit="1" customWidth="1"/>
    <col min="7" max="7" width="12.33203125" customWidth="1"/>
  </cols>
  <sheetData>
    <row r="1" spans="1:9" x14ac:dyDescent="0.2">
      <c r="A1" t="s">
        <v>37</v>
      </c>
      <c r="B1" t="s">
        <v>0</v>
      </c>
      <c r="C1" t="s">
        <v>36</v>
      </c>
      <c r="D1" t="s">
        <v>35</v>
      </c>
      <c r="E1" t="s">
        <v>1</v>
      </c>
      <c r="F1" t="s">
        <v>2</v>
      </c>
      <c r="G1" t="s">
        <v>3</v>
      </c>
      <c r="H1" t="s">
        <v>26</v>
      </c>
      <c r="I1" t="s">
        <v>27</v>
      </c>
    </row>
    <row r="2" spans="1:9" x14ac:dyDescent="0.2">
      <c r="A2">
        <v>70</v>
      </c>
      <c r="B2">
        <v>3</v>
      </c>
      <c r="C2">
        <v>0</v>
      </c>
      <c r="D2">
        <f>Tabelle1[[#This Row],[Plexiglas / mm]]+0.2</f>
        <v>0.2</v>
      </c>
      <c r="E2" s="8">
        <v>1439</v>
      </c>
      <c r="F2" s="8">
        <v>1441</v>
      </c>
      <c r="G2" s="8">
        <v>1439</v>
      </c>
      <c r="H2">
        <v>23.1</v>
      </c>
      <c r="I2">
        <v>975.6</v>
      </c>
    </row>
    <row r="3" spans="1:9" x14ac:dyDescent="0.2">
      <c r="A3">
        <v>70</v>
      </c>
      <c r="B3">
        <v>10</v>
      </c>
      <c r="C3">
        <v>0</v>
      </c>
      <c r="D3">
        <f>Tabelle1[[#This Row],[Plexiglas / mm]]+0.2</f>
        <v>0.2</v>
      </c>
      <c r="E3" s="8">
        <v>4787</v>
      </c>
      <c r="F3" s="8">
        <v>4787</v>
      </c>
      <c r="G3" s="8">
        <v>4781</v>
      </c>
      <c r="H3">
        <v>23.7</v>
      </c>
      <c r="I3">
        <v>975.4</v>
      </c>
    </row>
    <row r="4" spans="1:9" x14ac:dyDescent="0.2">
      <c r="A4">
        <v>100</v>
      </c>
      <c r="B4">
        <v>12</v>
      </c>
      <c r="C4">
        <v>0</v>
      </c>
      <c r="D4">
        <f>Tabelle1[[#This Row],[Plexiglas / mm]]+0.2</f>
        <v>0.2</v>
      </c>
      <c r="E4" s="8">
        <v>1288</v>
      </c>
      <c r="F4" s="8">
        <v>1287</v>
      </c>
      <c r="G4" s="8">
        <v>1285</v>
      </c>
      <c r="H4">
        <v>23.2</v>
      </c>
      <c r="I4">
        <v>975.6</v>
      </c>
    </row>
    <row r="5" spans="1:9" x14ac:dyDescent="0.2">
      <c r="A5">
        <v>70</v>
      </c>
      <c r="B5">
        <v>3</v>
      </c>
      <c r="C5">
        <v>10</v>
      </c>
      <c r="D5">
        <f>Tabelle1[[#This Row],[Plexiglas / mm]]+0.2</f>
        <v>10.199999999999999</v>
      </c>
      <c r="E5" s="8">
        <v>844.3</v>
      </c>
      <c r="F5" s="8">
        <v>845.8</v>
      </c>
      <c r="G5" s="8">
        <v>846.5</v>
      </c>
      <c r="H5">
        <v>23.3</v>
      </c>
      <c r="I5">
        <v>975.6</v>
      </c>
    </row>
    <row r="6" spans="1:9" x14ac:dyDescent="0.2">
      <c r="A6">
        <v>70</v>
      </c>
      <c r="B6">
        <v>10</v>
      </c>
      <c r="C6">
        <v>10</v>
      </c>
      <c r="D6">
        <f>Tabelle1[[#This Row],[Plexiglas / mm]]+0.2</f>
        <v>10.199999999999999</v>
      </c>
      <c r="E6" s="8">
        <v>2828</v>
      </c>
      <c r="F6" s="8">
        <v>2831</v>
      </c>
      <c r="G6" s="8">
        <v>2827</v>
      </c>
      <c r="H6">
        <v>23.7</v>
      </c>
      <c r="I6">
        <v>975.4</v>
      </c>
    </row>
    <row r="7" spans="1:9" x14ac:dyDescent="0.2">
      <c r="A7">
        <v>100</v>
      </c>
      <c r="B7">
        <v>12</v>
      </c>
      <c r="C7">
        <v>10</v>
      </c>
      <c r="D7">
        <f>Tabelle1[[#This Row],[Plexiglas / mm]]+0.2</f>
        <v>10.199999999999999</v>
      </c>
      <c r="E7" s="8">
        <v>983.7</v>
      </c>
      <c r="F7" s="8">
        <v>984.2</v>
      </c>
      <c r="G7" s="8">
        <v>982.9</v>
      </c>
      <c r="H7">
        <v>23.3</v>
      </c>
      <c r="I7">
        <v>975.6</v>
      </c>
    </row>
    <row r="8" spans="1:9" x14ac:dyDescent="0.2">
      <c r="A8">
        <v>70</v>
      </c>
      <c r="B8">
        <v>3</v>
      </c>
      <c r="C8">
        <v>20</v>
      </c>
      <c r="D8">
        <f>Tabelle1[[#This Row],[Plexiglas / mm]]+0.2</f>
        <v>20.2</v>
      </c>
      <c r="E8" s="8">
        <v>523.6</v>
      </c>
      <c r="F8" s="8">
        <v>526</v>
      </c>
      <c r="G8" s="8">
        <v>525.5</v>
      </c>
      <c r="H8">
        <v>23.4</v>
      </c>
      <c r="I8">
        <v>975.6</v>
      </c>
    </row>
    <row r="9" spans="1:9" x14ac:dyDescent="0.2">
      <c r="A9">
        <v>70</v>
      </c>
      <c r="B9">
        <v>10</v>
      </c>
      <c r="C9">
        <v>20</v>
      </c>
      <c r="D9">
        <f>Tabelle1[[#This Row],[Plexiglas / mm]]+0.2</f>
        <v>20.2</v>
      </c>
      <c r="E9" s="8">
        <v>1758</v>
      </c>
      <c r="F9" s="8">
        <v>1758</v>
      </c>
      <c r="G9" s="8">
        <v>1759</v>
      </c>
      <c r="H9">
        <v>23.7</v>
      </c>
      <c r="I9">
        <v>975.5</v>
      </c>
    </row>
    <row r="10" spans="1:9" x14ac:dyDescent="0.2">
      <c r="A10">
        <v>100</v>
      </c>
      <c r="B10">
        <v>12</v>
      </c>
      <c r="C10">
        <v>20</v>
      </c>
      <c r="D10">
        <f>Tabelle1[[#This Row],[Plexiglas / mm]]+0.2</f>
        <v>20.2</v>
      </c>
      <c r="E10" s="8">
        <v>746.5</v>
      </c>
      <c r="F10" s="8">
        <v>746.4</v>
      </c>
      <c r="G10" s="8">
        <v>746.5</v>
      </c>
      <c r="H10">
        <v>23.4</v>
      </c>
      <c r="I10">
        <v>975.6</v>
      </c>
    </row>
    <row r="11" spans="1:9" x14ac:dyDescent="0.2">
      <c r="A11">
        <v>70</v>
      </c>
      <c r="B11">
        <v>3</v>
      </c>
      <c r="C11">
        <v>30</v>
      </c>
      <c r="D11">
        <f>Tabelle1[[#This Row],[Plexiglas / mm]]+0.2</f>
        <v>30.2</v>
      </c>
      <c r="E11" s="8">
        <v>328.4</v>
      </c>
      <c r="F11" s="8">
        <v>329.8</v>
      </c>
      <c r="G11" s="8">
        <v>330.6</v>
      </c>
      <c r="H11">
        <v>23.5</v>
      </c>
      <c r="I11">
        <v>975.5</v>
      </c>
    </row>
    <row r="12" spans="1:9" x14ac:dyDescent="0.2">
      <c r="A12">
        <v>70</v>
      </c>
      <c r="B12">
        <v>10</v>
      </c>
      <c r="C12">
        <v>30</v>
      </c>
      <c r="D12">
        <f>Tabelle1[[#This Row],[Plexiglas / mm]]+0.2</f>
        <v>30.2</v>
      </c>
      <c r="E12" s="8">
        <v>1099</v>
      </c>
      <c r="F12" s="8">
        <v>1099</v>
      </c>
      <c r="G12" s="8">
        <v>1099</v>
      </c>
      <c r="H12">
        <v>23.5</v>
      </c>
      <c r="I12">
        <v>975.5</v>
      </c>
    </row>
    <row r="13" spans="1:9" x14ac:dyDescent="0.2">
      <c r="A13">
        <v>100</v>
      </c>
      <c r="B13">
        <v>12</v>
      </c>
      <c r="C13">
        <v>30</v>
      </c>
      <c r="D13">
        <f>Tabelle1[[#This Row],[Plexiglas / mm]]+0.2</f>
        <v>30.2</v>
      </c>
      <c r="E13" s="8">
        <v>553</v>
      </c>
      <c r="F13" s="8">
        <v>553.1</v>
      </c>
      <c r="G13" s="8">
        <v>553.29999999999995</v>
      </c>
      <c r="H13">
        <v>23.5</v>
      </c>
      <c r="I13">
        <v>975.5</v>
      </c>
    </row>
    <row r="14" spans="1:9" x14ac:dyDescent="0.2">
      <c r="D14" s="8"/>
      <c r="E14" s="8"/>
      <c r="F14" s="8"/>
      <c r="G14" s="1"/>
    </row>
    <row r="15" spans="1:9" x14ac:dyDescent="0.2">
      <c r="D15" s="8"/>
      <c r="E15" s="8"/>
      <c r="F15" s="8"/>
      <c r="G15" s="1"/>
    </row>
    <row r="16" spans="1:9" x14ac:dyDescent="0.2">
      <c r="D16" s="8"/>
      <c r="E16" s="8"/>
      <c r="F16" s="8"/>
      <c r="G16" s="1"/>
    </row>
    <row r="17" spans="6:6" x14ac:dyDescent="0.2">
      <c r="F17" s="3"/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5D93-6328-3042-91F4-753AFE46C192}">
  <dimension ref="A1:C16"/>
  <sheetViews>
    <sheetView workbookViewId="0">
      <selection activeCell="H27" sqref="H27"/>
    </sheetView>
  </sheetViews>
  <sheetFormatPr baseColWidth="10" defaultRowHeight="16" x14ac:dyDescent="0.2"/>
  <sheetData>
    <row r="1" spans="1:3" x14ac:dyDescent="0.2">
      <c r="A1" t="s">
        <v>33</v>
      </c>
      <c r="B1" t="s">
        <v>34</v>
      </c>
      <c r="C1" t="s">
        <v>19</v>
      </c>
    </row>
    <row r="2" spans="1:3" x14ac:dyDescent="0.2">
      <c r="A2" s="1">
        <f>AVERAGE(Messwerte!E2:G2)</f>
        <v>1439.6666666666667</v>
      </c>
      <c r="B2" s="1">
        <f>STDEV(Messwerte!E2:G2)/SQRT(COUNT(Messwerte!E2:G2))</f>
        <v>0.66666666666666663</v>
      </c>
      <c r="C2" s="9" t="e">
        <f>#REF!/#REF!*100</f>
        <v>#REF!</v>
      </c>
    </row>
    <row r="3" spans="1:3" x14ac:dyDescent="0.2">
      <c r="A3" s="1">
        <f>AVERAGE(Messwerte!E3:G3)</f>
        <v>4785</v>
      </c>
      <c r="B3" s="1">
        <f>STDEV(Messwerte!E3:G3)/SQRT(COUNT(Messwerte!E3:G3))</f>
        <v>2</v>
      </c>
      <c r="C3" s="9" t="e">
        <f>#REF!/#REF!*100</f>
        <v>#REF!</v>
      </c>
    </row>
    <row r="4" spans="1:3" x14ac:dyDescent="0.2">
      <c r="A4" s="1">
        <f>AVERAGE(Messwerte!E4:G4)</f>
        <v>1286.6666666666667</v>
      </c>
      <c r="B4" s="1">
        <f>STDEV(Messwerte!E4:G4)/SQRT(COUNT(Messwerte!E4:G4))</f>
        <v>0.88191710368819687</v>
      </c>
      <c r="C4" s="9" t="e">
        <f>#REF!/#REF!*100</f>
        <v>#REF!</v>
      </c>
    </row>
    <row r="5" spans="1:3" x14ac:dyDescent="0.2">
      <c r="A5" s="1">
        <f>AVERAGE(Messwerte!E5:G5)</f>
        <v>845.5333333333333</v>
      </c>
      <c r="B5" s="1">
        <f>STDEV(Messwerte!E5:G5)/SQRT(COUNT(Messwerte!E5:G5))</f>
        <v>0.64893074446440424</v>
      </c>
      <c r="C5" s="9" t="e">
        <f>#REF!/#REF!*100</f>
        <v>#REF!</v>
      </c>
    </row>
    <row r="6" spans="1:3" x14ac:dyDescent="0.2">
      <c r="A6" s="1">
        <f>AVERAGE(Messwerte!E6:G6)</f>
        <v>2828.6666666666665</v>
      </c>
      <c r="B6" s="1">
        <f>STDEV(Messwerte!E6:G6)/SQRT(COUNT(Messwerte!E6:G6))</f>
        <v>1.2018504251546631</v>
      </c>
      <c r="C6" s="9" t="e">
        <f>#REF!/#REF!*100</f>
        <v>#REF!</v>
      </c>
    </row>
    <row r="7" spans="1:3" x14ac:dyDescent="0.2">
      <c r="A7" s="1">
        <f>AVERAGE(Messwerte!E7:G7)</f>
        <v>983.6</v>
      </c>
      <c r="B7" s="1">
        <f>STDEV(Messwerte!E7:G7)/SQRT(COUNT(Messwerte!E7:G7))</f>
        <v>0.37859388972003927</v>
      </c>
      <c r="C7" s="9" t="e">
        <f>#REF!/#REF!*100</f>
        <v>#REF!</v>
      </c>
    </row>
    <row r="8" spans="1:3" x14ac:dyDescent="0.2">
      <c r="A8" s="1">
        <f>AVERAGE(Messwerte!E8:G8)</f>
        <v>525.0333333333333</v>
      </c>
      <c r="B8" s="1">
        <f>STDEV(Messwerte!E8:G8)/SQRT(COUNT(Messwerte!E8:G8))</f>
        <v>0.73105707331536962</v>
      </c>
      <c r="C8" s="9" t="e">
        <f>#REF!/#REF!*100</f>
        <v>#REF!</v>
      </c>
    </row>
    <row r="9" spans="1:3" x14ac:dyDescent="0.2">
      <c r="A9" s="1">
        <f>AVERAGE(Messwerte!E9:G9)</f>
        <v>1758.3333333333333</v>
      </c>
      <c r="B9" s="1">
        <f>STDEV(Messwerte!E9:G9)/SQRT(COUNT(Messwerte!E9:G9))</f>
        <v>0.33333333333333337</v>
      </c>
      <c r="C9" s="9" t="e">
        <f>#REF!/#REF!*100</f>
        <v>#REF!</v>
      </c>
    </row>
    <row r="10" spans="1:3" x14ac:dyDescent="0.2">
      <c r="A10" s="1">
        <f>AVERAGE(Messwerte!E10:G10)</f>
        <v>746.4666666666667</v>
      </c>
      <c r="B10" s="1">
        <f>STDEV(Messwerte!E10:G10)/SQRT(COUNT(Messwerte!E10:G10))</f>
        <v>3.3333333333340917E-2</v>
      </c>
      <c r="C10" s="9" t="e">
        <f>#REF!/#REF!*100</f>
        <v>#REF!</v>
      </c>
    </row>
    <row r="11" spans="1:3" x14ac:dyDescent="0.2">
      <c r="A11" s="1">
        <f>AVERAGE(Messwerte!E11:G11)</f>
        <v>329.6</v>
      </c>
      <c r="B11" s="1">
        <f>STDEV(Messwerte!E11:G11)/SQRT(COUNT(Messwerte!E11:G11))</f>
        <v>0.64291005073287721</v>
      </c>
      <c r="C11" s="9" t="e">
        <f>#REF!/#REF!*100</f>
        <v>#REF!</v>
      </c>
    </row>
    <row r="12" spans="1:3" x14ac:dyDescent="0.2">
      <c r="A12" s="1">
        <f>AVERAGE(Messwerte!E12:G12)</f>
        <v>1099</v>
      </c>
      <c r="B12" s="1">
        <f>STDEV(Messwerte!E12:G12)/SQRT(COUNT(Messwerte!E12:G12))</f>
        <v>0</v>
      </c>
      <c r="C12" s="9" t="e">
        <f>#REF!/#REF!*100</f>
        <v>#REF!</v>
      </c>
    </row>
    <row r="13" spans="1:3" x14ac:dyDescent="0.2">
      <c r="A13" s="1">
        <f>AVERAGE(Messwerte!E13:G13)</f>
        <v>553.13333333333333</v>
      </c>
      <c r="B13" s="1">
        <f>STDEV(Messwerte!E13:G13)/SQRT(COUNT(Messwerte!E13:G13))</f>
        <v>8.8191710368803938E-2</v>
      </c>
      <c r="C13" s="9" t="e">
        <f>#REF!/#REF!*100</f>
        <v>#REF!</v>
      </c>
    </row>
    <row r="14" spans="1:3" x14ac:dyDescent="0.2">
      <c r="A14" s="1"/>
      <c r="B14" s="9"/>
    </row>
    <row r="15" spans="1:3" x14ac:dyDescent="0.2">
      <c r="A15" s="1"/>
      <c r="B15" s="9"/>
    </row>
    <row r="16" spans="1:3" x14ac:dyDescent="0.2">
      <c r="A16" s="1"/>
      <c r="B16" s="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Grunddaten</vt:lpstr>
      <vt:lpstr>Messwerte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2022-05-11T06:27:43Z</dcterms:created>
  <dcterms:modified xsi:type="dcterms:W3CDTF">2022-06-15T11:18:53Z</dcterms:modified>
</cp:coreProperties>
</file>