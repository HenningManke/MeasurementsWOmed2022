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spezial/"/>
    </mc:Choice>
  </mc:AlternateContent>
  <xr:revisionPtr revIDLastSave="0" documentId="13_ncr:1_{20DDBB9D-6227-BB40-A08A-BCC2119DF044}" xr6:coauthVersionLast="47" xr6:coauthVersionMax="47" xr10:uidLastSave="{00000000-0000-0000-0000-000000000000}"/>
  <bookViews>
    <workbookView xWindow="6200" yWindow="2600" windowWidth="27040" windowHeight="15940" activeTab="1" xr2:uid="{8607E394-986A-314B-B233-56B69F08236B}"/>
  </bookViews>
  <sheets>
    <sheet name="Grunddaten" sheetId="1" r:id="rId1"/>
    <sheet name="Messwer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4" i="1" l="1"/>
  <c r="B23" i="1"/>
  <c r="B14" i="1"/>
  <c r="B16" i="1" s="1"/>
</calcChain>
</file>

<file path=xl/sharedStrings.xml><?xml version="1.0" encoding="utf-8"?>
<sst xmlns="http://schemas.openxmlformats.org/spreadsheetml/2006/main" count="32" uniqueCount="32">
  <si>
    <t>Datum</t>
  </si>
  <si>
    <t>Detektor</t>
  </si>
  <si>
    <t>Weichstrahlkammer</t>
  </si>
  <si>
    <t>Einstellungen Detektor und Dosimeter</t>
  </si>
  <si>
    <t>Spannung / V</t>
  </si>
  <si>
    <t>Messbereich</t>
  </si>
  <si>
    <t>LOW</t>
  </si>
  <si>
    <t>Integrationszeit / s</t>
  </si>
  <si>
    <t>Dicke der Kammer / mm</t>
  </si>
  <si>
    <t>Unsicherheiten</t>
  </si>
  <si>
    <t>Kalibrierfaktor Kammer / %</t>
  </si>
  <si>
    <t>Unidos Romeo / %</t>
  </si>
  <si>
    <t>Gesamtunsicherheit / %</t>
  </si>
  <si>
    <t>Strahlungsquelle</t>
  </si>
  <si>
    <t>Strahlspannung</t>
  </si>
  <si>
    <t>Feldgröße - Applikatordurchmesser / mm</t>
  </si>
  <si>
    <t>d2 / 15</t>
  </si>
  <si>
    <t>Strom / mA</t>
  </si>
  <si>
    <t>Filtermaterial</t>
  </si>
  <si>
    <t>Filterdicke</t>
  </si>
  <si>
    <t>Strahlqualität</t>
  </si>
  <si>
    <t>Strom</t>
  </si>
  <si>
    <t>Tiefe</t>
  </si>
  <si>
    <t>Temperatur</t>
  </si>
  <si>
    <t>Luftdruck</t>
  </si>
  <si>
    <t>Röhrennummer</t>
  </si>
  <si>
    <t>Einstrahlrichtung</t>
  </si>
  <si>
    <t>CCB</t>
  </si>
  <si>
    <t>ID</t>
  </si>
  <si>
    <t>hinten</t>
  </si>
  <si>
    <t>PWLR</t>
  </si>
  <si>
    <t>Dosis / mGy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</si>
</sst>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right"/>
    </xf>
    <xf numFmtId="0" fontId="1" fillId="2" borderId="1" xfId="0" applyFont="1" applyFill="1" applyBorder="1"/>
    <xf numFmtId="0" fontId="0" fillId="3" borderId="2" xfId="0" applyFill="1" applyBorder="1"/>
    <xf numFmtId="164" fontId="0" fillId="3" borderId="2" xfId="0" applyNumberFormat="1" applyFill="1" applyBorder="1"/>
    <xf numFmtId="164" fontId="0" fillId="3" borderId="0" xfId="0" applyNumberFormat="1" applyFill="1"/>
    <xf numFmtId="0" fontId="0" fillId="3" borderId="0" xfId="0" applyFill="1"/>
  </cellXfs>
  <cellStyles count="1">
    <cellStyle name="Standard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071884-B288-604F-A366-6B0FBDF65726}" name="Tabelle2" displayName="Tabelle2" ref="A1:F6" totalsRowShown="0" headerRowDxfId="10" dataDxfId="8" headerRowBorderDxfId="9" tableBorderDxfId="7" totalsRowBorderDxfId="6">
  <autoFilter ref="A1:F6" xr:uid="{04071884-B288-604F-A366-6B0FBDF65726}"/>
  <tableColumns count="6">
    <tableColumn id="1" xr3:uid="{DA970CB7-6140-724E-819E-E58F89CCD57F}" name="Strahlqualität" dataDxfId="5"/>
    <tableColumn id="2" xr3:uid="{1514AC15-B2CE-8747-80F6-572705D24991}" name="Strom" dataDxfId="4"/>
    <tableColumn id="3" xr3:uid="{FFF97508-A7D0-AB4A-8933-5A1B37BB9A04}" name="Tiefe" dataDxfId="3"/>
    <tableColumn id="4" xr3:uid="{81014C60-C84C-2545-9CFB-D5A1FE229282}" name="Dosis / mGy" dataDxfId="2"/>
    <tableColumn id="12" xr3:uid="{DE2AB8E2-09D2-6041-AC76-84A2B4E81273}" name="Temperatur" dataDxfId="1"/>
    <tableColumn id="13" xr3:uid="{53C7BAE3-DB5D-A247-B8C7-DFC458767A79}" name="Luftdruck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50A0A-A313-5341-B8F7-B8B2277E3D39}">
  <sheetPr codeName="Tabelle1"/>
  <dimension ref="A1:B24"/>
  <sheetViews>
    <sheetView workbookViewId="0">
      <selection activeCell="B24" sqref="B24"/>
    </sheetView>
  </sheetViews>
  <sheetFormatPr baseColWidth="10" defaultRowHeight="16" x14ac:dyDescent="0.2"/>
  <cols>
    <col min="1" max="1" width="35.33203125" bestFit="1" customWidth="1"/>
    <col min="2" max="2" width="18" bestFit="1" customWidth="1"/>
  </cols>
  <sheetData>
    <row r="1" spans="1:2" x14ac:dyDescent="0.2">
      <c r="A1" t="s">
        <v>0</v>
      </c>
      <c r="B1" s="1">
        <v>44691</v>
      </c>
    </row>
    <row r="2" spans="1:2" x14ac:dyDescent="0.2">
      <c r="A2" t="s">
        <v>1</v>
      </c>
      <c r="B2" s="2" t="s">
        <v>2</v>
      </c>
    </row>
    <row r="3" spans="1:2" x14ac:dyDescent="0.2">
      <c r="A3" t="s">
        <v>26</v>
      </c>
      <c r="B3" s="2" t="s">
        <v>29</v>
      </c>
    </row>
    <row r="4" spans="1:2" x14ac:dyDescent="0.2">
      <c r="A4" t="s">
        <v>27</v>
      </c>
      <c r="B4" s="2" t="s">
        <v>30</v>
      </c>
    </row>
    <row r="5" spans="1:2" x14ac:dyDescent="0.2">
      <c r="A5" t="s">
        <v>28</v>
      </c>
      <c r="B5" s="2">
        <v>38</v>
      </c>
    </row>
    <row r="6" spans="1:2" x14ac:dyDescent="0.2">
      <c r="B6" s="2"/>
    </row>
    <row r="7" spans="1:2" x14ac:dyDescent="0.2">
      <c r="A7" s="3" t="s">
        <v>3</v>
      </c>
      <c r="B7" s="2"/>
    </row>
    <row r="8" spans="1:2" x14ac:dyDescent="0.2">
      <c r="A8" t="s">
        <v>4</v>
      </c>
      <c r="B8" s="2">
        <v>400</v>
      </c>
    </row>
    <row r="9" spans="1:2" x14ac:dyDescent="0.2">
      <c r="A9" t="s">
        <v>5</v>
      </c>
      <c r="B9" s="2" t="s">
        <v>6</v>
      </c>
    </row>
    <row r="10" spans="1:2" x14ac:dyDescent="0.2">
      <c r="A10" t="s">
        <v>7</v>
      </c>
      <c r="B10" s="2">
        <v>30</v>
      </c>
    </row>
    <row r="11" spans="1:2" x14ac:dyDescent="0.2">
      <c r="A11" t="s">
        <v>8</v>
      </c>
      <c r="B11" s="2">
        <v>8</v>
      </c>
    </row>
    <row r="12" spans="1:2" x14ac:dyDescent="0.2">
      <c r="A12" s="3"/>
      <c r="B12" s="2"/>
    </row>
    <row r="13" spans="1:2" x14ac:dyDescent="0.2">
      <c r="A13" s="3" t="s">
        <v>9</v>
      </c>
      <c r="B13" s="2"/>
    </row>
    <row r="14" spans="1:2" x14ac:dyDescent="0.2">
      <c r="A14" t="s">
        <v>10</v>
      </c>
      <c r="B14" s="2">
        <f>IF(B19 = "TW 15", 2.2/2,2.1/2)</f>
        <v>1.05</v>
      </c>
    </row>
    <row r="15" spans="1:2" x14ac:dyDescent="0.2">
      <c r="A15" t="s">
        <v>11</v>
      </c>
      <c r="B15" s="2">
        <v>0.5</v>
      </c>
    </row>
    <row r="16" spans="1:2" x14ac:dyDescent="0.2">
      <c r="A16" t="s">
        <v>12</v>
      </c>
      <c r="B16" s="4">
        <f>SQRT(B14^2+B15^2)</f>
        <v>1.1629703349613008</v>
      </c>
    </row>
    <row r="17" spans="1:2" x14ac:dyDescent="0.2">
      <c r="B17" s="2"/>
    </row>
    <row r="18" spans="1:2" x14ac:dyDescent="0.2">
      <c r="A18" s="3" t="s">
        <v>13</v>
      </c>
      <c r="B18" s="2"/>
    </row>
    <row r="19" spans="1:2" x14ac:dyDescent="0.2">
      <c r="A19" t="s">
        <v>25</v>
      </c>
      <c r="B19" s="2">
        <v>2</v>
      </c>
    </row>
    <row r="20" spans="1:2" x14ac:dyDescent="0.2">
      <c r="A20" t="s">
        <v>14</v>
      </c>
      <c r="B20" s="2">
        <v>100</v>
      </c>
    </row>
    <row r="21" spans="1:2" x14ac:dyDescent="0.2">
      <c r="A21" t="s">
        <v>15</v>
      </c>
      <c r="B21" s="2" t="s">
        <v>16</v>
      </c>
    </row>
    <row r="22" spans="1:2" x14ac:dyDescent="0.2">
      <c r="A22" t="s">
        <v>17</v>
      </c>
      <c r="B22" s="2">
        <v>12</v>
      </c>
    </row>
    <row r="23" spans="1:2" x14ac:dyDescent="0.2">
      <c r="A23" t="s">
        <v>18</v>
      </c>
      <c r="B23" s="2" t="str">
        <f>IF(B20=70, "Aluminium", "Kupfer")</f>
        <v>Kupfer</v>
      </c>
    </row>
    <row r="24" spans="1:2" x14ac:dyDescent="0.2">
      <c r="A24" t="s">
        <v>19</v>
      </c>
      <c r="B24" s="2">
        <f>IF(B20=70, 1, 0.5)</f>
        <v>0.5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6592-C8B4-744E-8F7E-38435D4E9E3E}">
  <sheetPr codeName="Tabelle2"/>
  <dimension ref="A1:F6"/>
  <sheetViews>
    <sheetView tabSelected="1" workbookViewId="0">
      <selection activeCell="D1" sqref="D1"/>
    </sheetView>
  </sheetViews>
  <sheetFormatPr baseColWidth="10" defaultRowHeight="16" x14ac:dyDescent="0.2"/>
  <sheetData>
    <row r="1" spans="1:6" x14ac:dyDescent="0.2">
      <c r="A1" s="5" t="s">
        <v>20</v>
      </c>
      <c r="B1" s="5" t="s">
        <v>21</v>
      </c>
      <c r="C1" s="5" t="s">
        <v>22</v>
      </c>
      <c r="D1" s="5" t="s">
        <v>31</v>
      </c>
      <c r="E1" s="5" t="s">
        <v>23</v>
      </c>
      <c r="F1" s="5" t="s">
        <v>24</v>
      </c>
    </row>
    <row r="2" spans="1:6" x14ac:dyDescent="0.2">
      <c r="A2" s="6">
        <v>100</v>
      </c>
      <c r="B2" s="6">
        <v>12</v>
      </c>
      <c r="C2" s="6">
        <v>10</v>
      </c>
      <c r="D2" s="7">
        <v>440.2</v>
      </c>
      <c r="E2" s="8">
        <v>24.1</v>
      </c>
      <c r="F2" s="9">
        <v>975</v>
      </c>
    </row>
    <row r="3" spans="1:6" x14ac:dyDescent="0.2">
      <c r="A3" s="6">
        <v>100</v>
      </c>
      <c r="B3" s="6">
        <v>12</v>
      </c>
      <c r="C3" s="6">
        <v>10</v>
      </c>
      <c r="D3" s="7">
        <v>443.2</v>
      </c>
      <c r="E3" s="8">
        <v>24.2</v>
      </c>
      <c r="F3" s="9">
        <v>975</v>
      </c>
    </row>
    <row r="4" spans="1:6" x14ac:dyDescent="0.2">
      <c r="A4" s="6">
        <v>100</v>
      </c>
      <c r="B4" s="6">
        <v>12</v>
      </c>
      <c r="C4" s="6">
        <v>10</v>
      </c>
      <c r="D4" s="7">
        <v>439.4</v>
      </c>
      <c r="E4" s="8">
        <v>24.2</v>
      </c>
      <c r="F4" s="9">
        <v>975</v>
      </c>
    </row>
    <row r="5" spans="1:6" x14ac:dyDescent="0.2">
      <c r="A5" s="6">
        <v>100</v>
      </c>
      <c r="B5" s="6">
        <v>12</v>
      </c>
      <c r="C5" s="6">
        <v>10</v>
      </c>
      <c r="D5" s="7">
        <v>445.3</v>
      </c>
      <c r="E5" s="8">
        <v>24.2</v>
      </c>
      <c r="F5" s="9">
        <v>975</v>
      </c>
    </row>
    <row r="6" spans="1:6" x14ac:dyDescent="0.2">
      <c r="A6" s="6">
        <v>100</v>
      </c>
      <c r="B6" s="6">
        <v>12</v>
      </c>
      <c r="C6" s="6">
        <v>10</v>
      </c>
      <c r="D6" s="7">
        <v>442.5</v>
      </c>
      <c r="E6" s="8">
        <v>24.2</v>
      </c>
      <c r="F6" s="9">
        <v>975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Grunddaten</vt:lpstr>
      <vt:lpstr>Messwerte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2022-05-19T08:11:21Z</dcterms:created>
  <dcterms:modified xsi:type="dcterms:W3CDTF">2022-05-31T10:58:21Z</dcterms:modified>
</cp:coreProperties>
</file>