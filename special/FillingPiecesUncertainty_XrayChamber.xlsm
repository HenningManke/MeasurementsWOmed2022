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/>
  <workbookPr codeName="DieseArbeitsmappe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spezial/"/>
    </mc:Choice>
  </mc:AlternateContent>
  <xr:revisionPtr revIDLastSave="0" documentId="13_ncr:1_{1CE4CA32-8B49-1F49-9BEB-FF8CCA883BC6}" xr6:coauthVersionLast="47" xr6:coauthVersionMax="47" xr10:uidLastSave="{00000000-0000-0000-0000-000000000000}"/>
  <bookViews>
    <workbookView xWindow="920" yWindow="500" windowWidth="27920" windowHeight="23500" xr2:uid="{F99AEEE3-FD33-0A4B-AB62-C5F55EB79354}"/>
  </bookViews>
  <sheets>
    <sheet name="Grunddaten" sheetId="3" r:id="rId1"/>
    <sheet name="Stückelung" sheetId="1" r:id="rId2"/>
    <sheet name="Messwerte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4" i="3" l="1"/>
  <c r="B23" i="3"/>
  <c r="B14" i="3"/>
  <c r="B16" i="3" s="1"/>
  <c r="G14" i="1"/>
  <c r="F14" i="1"/>
  <c r="E14" i="1"/>
  <c r="H14" i="1"/>
  <c r="D14" i="1"/>
  <c r="C14" i="1"/>
  <c r="B14" i="1"/>
  <c r="A14" i="1"/>
</calcChain>
</file>

<file path=xl/sharedStrings.xml><?xml version="1.0" encoding="utf-8"?>
<sst xmlns="http://schemas.openxmlformats.org/spreadsheetml/2006/main" count="48" uniqueCount="40">
  <si>
    <t>Spalte1</t>
  </si>
  <si>
    <t>Messwert 1 / mGy</t>
  </si>
  <si>
    <t>Messwert 2 / mGy</t>
  </si>
  <si>
    <t>Messwert 3 / mGy</t>
  </si>
  <si>
    <t>Stückelung 1</t>
  </si>
  <si>
    <t>Stückelung 2</t>
  </si>
  <si>
    <t>Stückelung 3</t>
  </si>
  <si>
    <t>Stückelung 4</t>
  </si>
  <si>
    <t>Stückelung 5</t>
  </si>
  <si>
    <t>Stückelung 6</t>
  </si>
  <si>
    <t>Stückelung 7</t>
  </si>
  <si>
    <t>Stückelung 8</t>
  </si>
  <si>
    <t>Datum</t>
  </si>
  <si>
    <t>Detektor</t>
  </si>
  <si>
    <t>Weichstrahlkammer</t>
  </si>
  <si>
    <t>Einstellungen Detektor und Dosimeter</t>
  </si>
  <si>
    <t>Spannung / V</t>
  </si>
  <si>
    <t>Messbereich</t>
  </si>
  <si>
    <t>LOW</t>
  </si>
  <si>
    <t>Integrationszeit / s</t>
  </si>
  <si>
    <t>Dicke der Kammer / mm</t>
  </si>
  <si>
    <t>Unsicherheiten</t>
  </si>
  <si>
    <t>Kalibrierfaktor Kammer / %</t>
  </si>
  <si>
    <t>Unidos Romeo / %</t>
  </si>
  <si>
    <t>Gesamtunsicherheit / %</t>
  </si>
  <si>
    <t>Strahlungsquelle</t>
  </si>
  <si>
    <t>Röhrennummer</t>
  </si>
  <si>
    <t>Strahlspannung</t>
  </si>
  <si>
    <t>Feldgröße - Applikatordurchmesser / mm</t>
  </si>
  <si>
    <t>d2 / 15</t>
  </si>
  <si>
    <t>Strom / mA</t>
  </si>
  <si>
    <t>Filtermaterial</t>
  </si>
  <si>
    <t>Filterdicke</t>
  </si>
  <si>
    <t>Temperatur</t>
  </si>
  <si>
    <t>Luftdruck</t>
  </si>
  <si>
    <t>Einstrahlrichtung</t>
  </si>
  <si>
    <t>hinten</t>
  </si>
  <si>
    <t>CCB</t>
  </si>
  <si>
    <t>PWLR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</si>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</sst>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</fills>
  <borders count="2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/>
    <xf numFmtId="2" fontId="0" fillId="0" borderId="0" xfId="0" applyNumberFormat="1" applyAlignment="1">
      <alignment horizontal="right"/>
    </xf>
    <xf numFmtId="164" fontId="2" fillId="2" borderId="1" xfId="0" applyNumberFormat="1" applyFont="1" applyFill="1" applyBorder="1"/>
  </cellXfs>
  <cellStyles count="1">
    <cellStyle name="Standard" xfId="0" builtinId="0"/>
  </cellStyles>
  <dxfs count="8"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188551-0BE4-8F4C-A4D8-A417AFAF386E}" name="Tabelle1" displayName="Tabelle1" ref="A1:H14" totalsRowCount="1">
  <autoFilter ref="A1:H13" xr:uid="{E6188551-0BE4-8F4C-A4D8-A417AFAF386E}"/>
  <tableColumns count="8">
    <tableColumn id="1" xr3:uid="{C93567E9-036A-454D-851E-B30A583CC76A}" name="Stückelung 1" totalsRowFunction="sum"/>
    <tableColumn id="2" xr3:uid="{A25312C0-C407-2A44-B825-D9504290AFF9}" name="Stückelung 2" totalsRowFunction="sum"/>
    <tableColumn id="3" xr3:uid="{F4DC2109-78E6-224C-B7BE-C77C186A620F}" name="Stückelung 3" totalsRowFunction="sum"/>
    <tableColumn id="4" xr3:uid="{37801CD6-B3B8-6248-AC49-95C0C0FDEE15}" name="Stückelung 4" totalsRowFunction="sum"/>
    <tableColumn id="5" xr3:uid="{746F7C4A-7A35-C741-AF76-DC172ADCD19C}" name="Stückelung 5" totalsRowFunction="sum"/>
    <tableColumn id="6" xr3:uid="{8147E977-0055-904C-94CA-7F121D877158}" name="Stückelung 6" totalsRowFunction="sum"/>
    <tableColumn id="7" xr3:uid="{8C2AA006-6040-9646-AFFF-134B010583E2}" name="Stückelung 7" totalsRowFunction="sum"/>
    <tableColumn id="8" xr3:uid="{63C1B68A-4CCE-0244-B260-EA2C957CD663}" name="Stückelung 8" totalsRowFunction="sum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ADFE91-783B-C84B-9A60-DDE0A575809D}" name="Tabelle2" displayName="Tabelle2" ref="A1:I6">
  <autoFilter ref="A1:I6" xr:uid="{9FADFE91-783B-C84B-9A60-DDE0A575809D}"/>
  <tableColumns count="9">
    <tableColumn id="1" xr3:uid="{7006F8E7-F3B2-8540-AB78-0CB31F506433}" name="Spalte1" totalsRowLabel="Ergebnis"/>
    <tableColumn id="2" xr3:uid="{0BE93A4F-4413-AC4B-838E-34E2A830EC95}" name="Stückelung 1" dataDxfId="7"/>
    <tableColumn id="3" xr3:uid="{92B00990-136A-6A4B-8A44-A3B6E915DCB2}" name="Stückelung 2" dataDxfId="6"/>
    <tableColumn id="4" xr3:uid="{6F91F118-0A53-074C-A2E4-B86FB32D7CB3}" name="Stückelung 3" dataDxfId="5"/>
    <tableColumn id="5" xr3:uid="{AE59BD88-764C-9E4D-A25A-8AD1BAB113D8}" name="Stückelung 4" dataDxfId="4"/>
    <tableColumn id="6" xr3:uid="{B58E7D35-41E9-E044-8D6E-B8E0CAAB931F}" name="Stückelung 5" dataDxfId="3"/>
    <tableColumn id="7" xr3:uid="{F79C8F20-1F69-3742-8335-1F262538D5DB}" name="Stückelung 6" dataDxfId="2"/>
    <tableColumn id="8" xr3:uid="{00979A40-4F9B-1442-B722-D4EF149D7C04}" name="Stückelung 7" dataDxfId="1"/>
    <tableColumn id="9" xr3:uid="{B97E9197-99C6-C944-9B03-B48255A15C31}" name="Stückelung 8" totalsRowFunction="count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44D4-88B2-2445-9C75-304DBCE8037B}">
  <sheetPr codeName="Tabelle1"/>
  <dimension ref="A1:B24"/>
  <sheetViews>
    <sheetView tabSelected="1" workbookViewId="0">
      <selection activeCell="B6" sqref="B6"/>
    </sheetView>
  </sheetViews>
  <sheetFormatPr baseColWidth="10" defaultRowHeight="16" x14ac:dyDescent="0.2"/>
  <cols>
    <col min="1" max="1" width="35.33203125" bestFit="1" customWidth="1"/>
    <col min="2" max="2" width="18" bestFit="1" customWidth="1"/>
  </cols>
  <sheetData>
    <row r="1" spans="1:2" x14ac:dyDescent="0.2">
      <c r="A1" t="s">
        <v>12</v>
      </c>
      <c r="B1" s="2">
        <v>44691</v>
      </c>
    </row>
    <row r="2" spans="1:2" x14ac:dyDescent="0.2">
      <c r="A2" t="s">
        <v>13</v>
      </c>
      <c r="B2" s="3" t="s">
        <v>14</v>
      </c>
    </row>
    <row r="3" spans="1:2" x14ac:dyDescent="0.2">
      <c r="A3" t="s">
        <v>35</v>
      </c>
      <c r="B3" s="3" t="s">
        <v>36</v>
      </c>
    </row>
    <row r="4" spans="1:2" x14ac:dyDescent="0.2">
      <c r="A4" t="s">
        <v>37</v>
      </c>
      <c r="B4" s="3" t="s">
        <v>38</v>
      </c>
    </row>
    <row r="5" spans="1:2" x14ac:dyDescent="0.2">
      <c r="A5" t="s">
        <v>39</v>
      </c>
      <c r="B5" s="3">
        <v>37</v>
      </c>
    </row>
    <row r="6" spans="1:2" x14ac:dyDescent="0.2">
      <c r="B6" s="3"/>
    </row>
    <row r="7" spans="1:2" x14ac:dyDescent="0.2">
      <c r="A7" s="4" t="s">
        <v>15</v>
      </c>
      <c r="B7" s="3"/>
    </row>
    <row r="8" spans="1:2" x14ac:dyDescent="0.2">
      <c r="A8" t="s">
        <v>16</v>
      </c>
      <c r="B8" s="3">
        <v>400</v>
      </c>
    </row>
    <row r="9" spans="1:2" x14ac:dyDescent="0.2">
      <c r="A9" t="s">
        <v>17</v>
      </c>
      <c r="B9" s="3" t="s">
        <v>18</v>
      </c>
    </row>
    <row r="10" spans="1:2" x14ac:dyDescent="0.2">
      <c r="A10" t="s">
        <v>19</v>
      </c>
      <c r="B10" s="3">
        <v>30</v>
      </c>
    </row>
    <row r="11" spans="1:2" x14ac:dyDescent="0.2">
      <c r="A11" t="s">
        <v>20</v>
      </c>
      <c r="B11" s="3">
        <v>8</v>
      </c>
    </row>
    <row r="12" spans="1:2" x14ac:dyDescent="0.2">
      <c r="A12" s="4"/>
      <c r="B12" s="3"/>
    </row>
    <row r="13" spans="1:2" x14ac:dyDescent="0.2">
      <c r="A13" s="4" t="s">
        <v>21</v>
      </c>
      <c r="B13" s="3"/>
    </row>
    <row r="14" spans="1:2" x14ac:dyDescent="0.2">
      <c r="A14" t="s">
        <v>22</v>
      </c>
      <c r="B14" s="3">
        <f>IF($B$20 = "TW 15", 2.2/2,2.1/2)</f>
        <v>1.05</v>
      </c>
    </row>
    <row r="15" spans="1:2" x14ac:dyDescent="0.2">
      <c r="A15" t="s">
        <v>23</v>
      </c>
      <c r="B15" s="3">
        <v>0.5</v>
      </c>
    </row>
    <row r="16" spans="1:2" x14ac:dyDescent="0.2">
      <c r="A16" t="s">
        <v>24</v>
      </c>
      <c r="B16" s="5">
        <f>SQRT(B14^2+B15^2)</f>
        <v>1.1629703349613008</v>
      </c>
    </row>
    <row r="17" spans="1:2" x14ac:dyDescent="0.2">
      <c r="B17" s="3"/>
    </row>
    <row r="18" spans="1:2" x14ac:dyDescent="0.2">
      <c r="A18" s="4" t="s">
        <v>25</v>
      </c>
      <c r="B18" s="3"/>
    </row>
    <row r="19" spans="1:2" x14ac:dyDescent="0.2">
      <c r="A19" t="s">
        <v>26</v>
      </c>
      <c r="B19" s="3">
        <v>2</v>
      </c>
    </row>
    <row r="20" spans="1:2" x14ac:dyDescent="0.2">
      <c r="A20" t="s">
        <v>27</v>
      </c>
      <c r="B20" s="3">
        <v>100</v>
      </c>
    </row>
    <row r="21" spans="1:2" x14ac:dyDescent="0.2">
      <c r="A21" t="s">
        <v>28</v>
      </c>
      <c r="B21" s="3" t="s">
        <v>29</v>
      </c>
    </row>
    <row r="22" spans="1:2" x14ac:dyDescent="0.2">
      <c r="A22" t="s">
        <v>30</v>
      </c>
      <c r="B22" s="3">
        <v>12</v>
      </c>
    </row>
    <row r="23" spans="1:2" x14ac:dyDescent="0.2">
      <c r="A23" t="s">
        <v>31</v>
      </c>
      <c r="B23" s="3" t="str">
        <f>IF(B20=70, "Aluminium", "Kupfer")</f>
        <v>Kupfer</v>
      </c>
    </row>
    <row r="24" spans="1:2" x14ac:dyDescent="0.2">
      <c r="A24" t="s">
        <v>32</v>
      </c>
      <c r="B24" s="3">
        <f>IF(B20=70, 1, 0.5)</f>
        <v>0.5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D96AC-6C48-4347-BA90-5EC15380F2D5}">
  <sheetPr codeName="Tabelle2"/>
  <dimension ref="A1:H14"/>
  <sheetViews>
    <sheetView zoomScale="110" zoomScaleNormal="110" workbookViewId="0">
      <selection activeCell="F26" sqref="F26"/>
    </sheetView>
  </sheetViews>
  <sheetFormatPr baseColWidth="10" defaultRowHeight="16" x14ac:dyDescent="0.2"/>
  <cols>
    <col min="1" max="8" width="14.1640625" bestFit="1" customWidth="1"/>
  </cols>
  <sheetData>
    <row r="1" spans="1:8" x14ac:dyDescent="0.2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</row>
    <row r="2" spans="1:8" x14ac:dyDescent="0.2">
      <c r="A2">
        <v>20</v>
      </c>
      <c r="B2">
        <v>10</v>
      </c>
      <c r="C2">
        <v>10</v>
      </c>
      <c r="D2">
        <v>5</v>
      </c>
      <c r="E2">
        <v>5</v>
      </c>
      <c r="F2">
        <v>5</v>
      </c>
      <c r="G2">
        <v>5</v>
      </c>
      <c r="H2">
        <v>5</v>
      </c>
    </row>
    <row r="3" spans="1:8" x14ac:dyDescent="0.2">
      <c r="B3">
        <v>10</v>
      </c>
      <c r="C3">
        <v>5</v>
      </c>
      <c r="D3">
        <v>5</v>
      </c>
      <c r="E3">
        <v>5</v>
      </c>
      <c r="F3">
        <v>5</v>
      </c>
      <c r="G3">
        <v>5</v>
      </c>
      <c r="H3">
        <v>5</v>
      </c>
    </row>
    <row r="4" spans="1:8" x14ac:dyDescent="0.2">
      <c r="C4">
        <v>5</v>
      </c>
      <c r="D4">
        <v>5</v>
      </c>
      <c r="E4">
        <v>5</v>
      </c>
      <c r="F4">
        <v>2</v>
      </c>
      <c r="G4">
        <v>2</v>
      </c>
      <c r="H4">
        <v>2</v>
      </c>
    </row>
    <row r="5" spans="1:8" x14ac:dyDescent="0.2">
      <c r="D5">
        <v>5</v>
      </c>
      <c r="E5">
        <v>2</v>
      </c>
      <c r="F5">
        <v>2</v>
      </c>
      <c r="G5">
        <v>2</v>
      </c>
      <c r="H5">
        <v>2</v>
      </c>
    </row>
    <row r="6" spans="1:8" x14ac:dyDescent="0.2">
      <c r="E6">
        <v>2</v>
      </c>
      <c r="F6">
        <v>2</v>
      </c>
      <c r="G6">
        <v>2</v>
      </c>
      <c r="H6">
        <v>1</v>
      </c>
    </row>
    <row r="7" spans="1:8" x14ac:dyDescent="0.2">
      <c r="E7">
        <v>1</v>
      </c>
      <c r="F7">
        <v>2</v>
      </c>
      <c r="G7">
        <v>1</v>
      </c>
      <c r="H7">
        <v>1</v>
      </c>
    </row>
    <row r="8" spans="1:8" x14ac:dyDescent="0.2">
      <c r="F8">
        <v>2</v>
      </c>
      <c r="G8">
        <v>1</v>
      </c>
      <c r="H8">
        <v>1</v>
      </c>
    </row>
    <row r="9" spans="1:8" x14ac:dyDescent="0.2">
      <c r="G9">
        <v>1</v>
      </c>
      <c r="H9">
        <v>1</v>
      </c>
    </row>
    <row r="10" spans="1:8" x14ac:dyDescent="0.2">
      <c r="G10">
        <v>1</v>
      </c>
      <c r="H10">
        <v>0.5</v>
      </c>
    </row>
    <row r="11" spans="1:8" x14ac:dyDescent="0.2">
      <c r="H11">
        <v>0.5</v>
      </c>
    </row>
    <row r="12" spans="1:8" x14ac:dyDescent="0.2">
      <c r="H12">
        <v>0.5</v>
      </c>
    </row>
    <row r="13" spans="1:8" x14ac:dyDescent="0.2">
      <c r="H13">
        <v>0.5</v>
      </c>
    </row>
    <row r="14" spans="1:8" x14ac:dyDescent="0.2">
      <c r="A14">
        <f>SUBTOTAL(109,Tabelle1[Stückelung 1])</f>
        <v>20</v>
      </c>
      <c r="B14">
        <f>SUBTOTAL(109,Tabelle1[Stückelung 2])</f>
        <v>20</v>
      </c>
      <c r="C14">
        <f>SUBTOTAL(109,Tabelle1[Stückelung 3])</f>
        <v>20</v>
      </c>
      <c r="D14">
        <f>SUBTOTAL(109,Tabelle1[Stückelung 4])</f>
        <v>20</v>
      </c>
      <c r="E14">
        <f>SUBTOTAL(109,Tabelle1[Stückelung 5])</f>
        <v>20</v>
      </c>
      <c r="F14">
        <f>SUBTOTAL(109,Tabelle1[Stückelung 6])</f>
        <v>20</v>
      </c>
      <c r="G14">
        <f>SUBTOTAL(109,Tabelle1[Stückelung 7])</f>
        <v>20</v>
      </c>
      <c r="H14">
        <f>SUBTOTAL(109,Tabelle1[Stückelung 8])</f>
        <v>20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7D6D4-BC15-1E41-8B96-150F27600BD4}">
  <sheetPr codeName="Tabelle3"/>
  <dimension ref="A1:I6"/>
  <sheetViews>
    <sheetView workbookViewId="0">
      <selection activeCell="R66" sqref="R66"/>
    </sheetView>
  </sheetViews>
  <sheetFormatPr baseColWidth="10" defaultRowHeight="16" x14ac:dyDescent="0.2"/>
  <cols>
    <col min="1" max="1" width="16.6640625" bestFit="1" customWidth="1"/>
    <col min="2" max="9" width="14.1640625" bestFit="1" customWidth="1"/>
  </cols>
  <sheetData>
    <row r="1" spans="1:9" x14ac:dyDescent="0.2">
      <c r="A1" t="s">
        <v>0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</row>
    <row r="2" spans="1:9" x14ac:dyDescent="0.2">
      <c r="A2" t="s">
        <v>1</v>
      </c>
      <c r="B2" s="1">
        <v>339.6</v>
      </c>
      <c r="C2" s="1">
        <v>340.6</v>
      </c>
      <c r="D2" s="1">
        <v>339.7</v>
      </c>
      <c r="E2" s="1">
        <v>341.1</v>
      </c>
      <c r="F2" s="1">
        <v>339.9</v>
      </c>
      <c r="G2" s="1">
        <v>340.2</v>
      </c>
      <c r="H2" s="1">
        <v>339.5</v>
      </c>
      <c r="I2" s="1">
        <v>338.9</v>
      </c>
    </row>
    <row r="3" spans="1:9" x14ac:dyDescent="0.2">
      <c r="A3" t="s">
        <v>2</v>
      </c>
      <c r="B3" s="1">
        <v>341</v>
      </c>
      <c r="C3" s="1">
        <v>340.4</v>
      </c>
      <c r="D3" s="1">
        <v>339.3</v>
      </c>
      <c r="E3" s="1">
        <v>341.2</v>
      </c>
      <c r="F3" s="1">
        <v>341.2</v>
      </c>
      <c r="G3" s="1">
        <v>341.1</v>
      </c>
      <c r="H3" s="1">
        <v>340.1</v>
      </c>
      <c r="I3" s="1">
        <v>340.2</v>
      </c>
    </row>
    <row r="4" spans="1:9" x14ac:dyDescent="0.2">
      <c r="A4" t="s">
        <v>3</v>
      </c>
      <c r="B4" s="1">
        <v>341</v>
      </c>
      <c r="C4" s="1">
        <v>339.8</v>
      </c>
      <c r="D4" s="1">
        <v>339.5</v>
      </c>
      <c r="E4" s="1">
        <v>341.3</v>
      </c>
      <c r="F4" s="1">
        <v>340.5</v>
      </c>
      <c r="G4" s="1">
        <v>340.4</v>
      </c>
      <c r="H4" s="1">
        <v>340.4</v>
      </c>
      <c r="I4" s="1">
        <v>340.3</v>
      </c>
    </row>
    <row r="5" spans="1:9" x14ac:dyDescent="0.2">
      <c r="A5" t="s">
        <v>33</v>
      </c>
      <c r="B5" s="1">
        <v>23.9</v>
      </c>
      <c r="C5" s="1">
        <v>24</v>
      </c>
      <c r="D5" s="1">
        <v>24</v>
      </c>
      <c r="E5" s="1">
        <v>24</v>
      </c>
      <c r="F5" s="1">
        <v>24</v>
      </c>
      <c r="G5" s="1">
        <v>24.1</v>
      </c>
      <c r="H5" s="1">
        <v>24.1</v>
      </c>
      <c r="I5" s="1">
        <v>24.1</v>
      </c>
    </row>
    <row r="6" spans="1:9" x14ac:dyDescent="0.2">
      <c r="A6" t="s">
        <v>34</v>
      </c>
      <c r="B6" s="1">
        <v>975.1</v>
      </c>
      <c r="C6" s="1">
        <v>975.1</v>
      </c>
      <c r="D6" s="1">
        <v>975.1</v>
      </c>
      <c r="E6" s="1">
        <v>975.1</v>
      </c>
      <c r="F6" s="1">
        <v>975</v>
      </c>
      <c r="G6" s="6">
        <v>975.1</v>
      </c>
      <c r="H6" s="6">
        <v>975.1</v>
      </c>
      <c r="I6" s="6">
        <v>975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Grunddaten</vt:lpstr>
      <vt:lpstr>Stückelung</vt:lpstr>
      <vt:lpstr>Messwerte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Manke</dc:creator>
  <cp:lastModifiedBy>Henning Manke</cp:lastModifiedBy>
  <dcterms:created xsi:type="dcterms:W3CDTF">2022-05-11T07:43:01Z</dcterms:created>
  <dcterms:modified xsi:type="dcterms:W3CDTF">2022-05-31T09:14:36Z</dcterms:modified>
</cp:coreProperties>
</file>