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spezial/"/>
    </mc:Choice>
  </mc:AlternateContent>
  <xr:revisionPtr revIDLastSave="0" documentId="13_ncr:1_{FE3E163F-1E0E-E348-BEA1-7E7C65B94A37}" xr6:coauthVersionLast="47" xr6:coauthVersionMax="47" xr10:uidLastSave="{00000000-0000-0000-0000-000000000000}"/>
  <bookViews>
    <workbookView xWindow="15680" yWindow="1760" windowWidth="18540" windowHeight="17500" activeTab="1" xr2:uid="{98879727-764E-3144-BB18-69468E0FAD2D}"/>
  </bookViews>
  <sheets>
    <sheet name="Grunddaten" sheetId="2" r:id="rId1"/>
    <sheet name="Messwerte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B14" i="2" l="1"/>
  <c r="B16" i="2" s="1"/>
</calcChain>
</file>

<file path=xl/sharedStrings.xml><?xml version="1.0" encoding="utf-8"?>
<sst xmlns="http://schemas.openxmlformats.org/spreadsheetml/2006/main" count="37" uniqueCount="33">
  <si>
    <t>Strom</t>
  </si>
  <si>
    <t>Messung 1 / mGy</t>
  </si>
  <si>
    <t>Datum</t>
  </si>
  <si>
    <t>Detektor</t>
  </si>
  <si>
    <t>Weichstrahlkammer</t>
  </si>
  <si>
    <t>Einstellungen Detektor und Dosimeter</t>
  </si>
  <si>
    <t>Spannung / V</t>
  </si>
  <si>
    <t>Messbereich</t>
  </si>
  <si>
    <t>LOW</t>
  </si>
  <si>
    <t>Integrationszeit / s</t>
  </si>
  <si>
    <t>Dicke der Kammer / mm</t>
  </si>
  <si>
    <t>Unsicherheiten</t>
  </si>
  <si>
    <t>Kalibrierfaktor Kammer / %</t>
  </si>
  <si>
    <t>Unidos Romeo / %</t>
  </si>
  <si>
    <t>Gesamtunsicherheit / %</t>
  </si>
  <si>
    <t>Strahlungsquelle</t>
  </si>
  <si>
    <t>d2 / 15</t>
  </si>
  <si>
    <t>Strahlspannung</t>
  </si>
  <si>
    <t>Feldgröße - Applikatordurchmesser / mm</t>
  </si>
  <si>
    <t>Strom / mA</t>
  </si>
  <si>
    <t>Filtermaterial</t>
  </si>
  <si>
    <t>Filterdicke</t>
  </si>
  <si>
    <t>variiert</t>
  </si>
  <si>
    <t>Temperatur</t>
  </si>
  <si>
    <t>Luftdruck</t>
  </si>
  <si>
    <t>Röhrennummer</t>
  </si>
  <si>
    <t>Einstrahlrichtung</t>
  </si>
  <si>
    <t>CCB</t>
  </si>
  <si>
    <t>ID</t>
  </si>
  <si>
    <t>nicht vorhanden</t>
  </si>
  <si>
    <t>Tiefe / mm</t>
  </si>
  <si>
    <t>Plexiglas / mm</t>
  </si>
  <si>
    <t>Spannung / kV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</si>
</sst>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4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right"/>
    </xf>
    <xf numFmtId="164" fontId="0" fillId="0" borderId="0" xfId="0" applyNumberFormat="1" applyFont="1"/>
    <xf numFmtId="0" fontId="0" fillId="0" borderId="0" xfId="0" applyAlignment="1">
      <alignment horizontal="center" wrapText="1"/>
    </xf>
  </cellXfs>
  <cellStyles count="1">
    <cellStyle name="Standard" xfId="0" builtinId="0"/>
  </cellStyles>
  <dxfs count="1"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3137-AFF8-C64F-82D7-DF601BEBF709}" name="Tabelle1" displayName="Tabelle1" ref="A1:G9" totalsRowShown="0">
  <autoFilter ref="A1:G9" xr:uid="{9FC33137-AFF8-C64F-82D7-DF601BEBF7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DDBDB4E-E961-F64A-912C-B78F7E4F392D}" name="Spannung / kV"/>
    <tableColumn id="2" xr3:uid="{607F5D84-2CE0-8A49-94C8-C8B817386719}" name="Strom"/>
    <tableColumn id="3" xr3:uid="{C10662DE-35E5-3B4B-B9ED-8EE08916A606}" name="Plexiglas / mm"/>
    <tableColumn id="12" xr3:uid="{8F1A7800-E37F-CE47-B747-63AF21EB7FF6}" name="Tiefe / mm">
      <calculatedColumnFormula>Tabelle1[[#This Row],[Plexiglas / mm]]+0.2</calculatedColumnFormula>
    </tableColumn>
    <tableColumn id="4" xr3:uid="{70383D8C-53F6-8248-922A-53F98CF003D4}" name="Messung 1 / mGy" dataDxfId="0"/>
    <tableColumn id="10" xr3:uid="{8AEA3F89-9508-AA42-A335-34CFFA572ADF}" name="Temperatur"/>
    <tableColumn id="11" xr3:uid="{7EDE88C8-B2AB-4D40-A585-FD5E27C35619}" name="Luftdruck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33D1B-D979-A944-BDAF-0958CDDCE978}">
  <sheetPr codeName="Tabelle1"/>
  <dimension ref="A1:D27"/>
  <sheetViews>
    <sheetView workbookViewId="0">
      <selection activeCell="B11" sqref="B11"/>
    </sheetView>
  </sheetViews>
  <sheetFormatPr baseColWidth="10" defaultRowHeight="16" x14ac:dyDescent="0.2"/>
  <cols>
    <col min="1" max="1" width="33.33203125" bestFit="1" customWidth="1"/>
    <col min="2" max="2" width="18" bestFit="1" customWidth="1"/>
    <col min="3" max="3" width="23.83203125" customWidth="1"/>
    <col min="4" max="4" width="5.33203125" bestFit="1" customWidth="1"/>
  </cols>
  <sheetData>
    <row r="1" spans="1:4" x14ac:dyDescent="0.2">
      <c r="A1" t="s">
        <v>2</v>
      </c>
      <c r="B1" s="2">
        <v>44684</v>
      </c>
    </row>
    <row r="2" spans="1:4" x14ac:dyDescent="0.2">
      <c r="A2" t="s">
        <v>3</v>
      </c>
      <c r="B2" s="3" t="s">
        <v>4</v>
      </c>
    </row>
    <row r="3" spans="1:4" x14ac:dyDescent="0.2">
      <c r="A3" t="s">
        <v>26</v>
      </c>
      <c r="B3" s="3" t="s">
        <v>29</v>
      </c>
    </row>
    <row r="4" spans="1:4" x14ac:dyDescent="0.2">
      <c r="A4" t="s">
        <v>27</v>
      </c>
      <c r="B4" s="3" t="s">
        <v>29</v>
      </c>
    </row>
    <row r="5" spans="1:4" x14ac:dyDescent="0.2">
      <c r="A5" t="s">
        <v>28</v>
      </c>
      <c r="B5" s="3">
        <v>2</v>
      </c>
    </row>
    <row r="6" spans="1:4" x14ac:dyDescent="0.2">
      <c r="B6" s="3"/>
    </row>
    <row r="7" spans="1:4" x14ac:dyDescent="0.2">
      <c r="A7" s="1" t="s">
        <v>5</v>
      </c>
      <c r="B7" s="3"/>
    </row>
    <row r="8" spans="1:4" x14ac:dyDescent="0.2">
      <c r="A8" t="s">
        <v>6</v>
      </c>
      <c r="B8" s="3">
        <v>400</v>
      </c>
    </row>
    <row r="9" spans="1:4" x14ac:dyDescent="0.2">
      <c r="A9" t="s">
        <v>7</v>
      </c>
      <c r="B9" s="3" t="s">
        <v>8</v>
      </c>
      <c r="C9" s="7"/>
      <c r="D9" s="4"/>
    </row>
    <row r="10" spans="1:4" x14ac:dyDescent="0.2">
      <c r="A10" t="s">
        <v>9</v>
      </c>
      <c r="B10" s="3">
        <v>60</v>
      </c>
      <c r="C10" s="7"/>
      <c r="D10" s="4"/>
    </row>
    <row r="11" spans="1:4" x14ac:dyDescent="0.2">
      <c r="A11" t="s">
        <v>10</v>
      </c>
      <c r="B11" s="3">
        <v>8</v>
      </c>
    </row>
    <row r="12" spans="1:4" x14ac:dyDescent="0.2">
      <c r="A12" s="1"/>
      <c r="B12" s="3"/>
    </row>
    <row r="13" spans="1:4" x14ac:dyDescent="0.2">
      <c r="A13" s="1" t="s">
        <v>11</v>
      </c>
      <c r="B13" s="3"/>
    </row>
    <row r="14" spans="1:4" x14ac:dyDescent="0.2">
      <c r="A14" t="s">
        <v>12</v>
      </c>
      <c r="B14" s="3" t="e">
        <f>IF(#REF! = "TW 15", 2.2/2,2.1/2)</f>
        <v>#REF!</v>
      </c>
    </row>
    <row r="15" spans="1:4" x14ac:dyDescent="0.2">
      <c r="A15" t="s">
        <v>13</v>
      </c>
      <c r="B15" s="3">
        <v>0.5</v>
      </c>
    </row>
    <row r="16" spans="1:4" x14ac:dyDescent="0.2">
      <c r="A16" t="s">
        <v>14</v>
      </c>
      <c r="B16" s="5" t="e">
        <f>SQRT(B14^2+B15^2)</f>
        <v>#REF!</v>
      </c>
    </row>
    <row r="17" spans="1:2" x14ac:dyDescent="0.2">
      <c r="B17" s="3"/>
    </row>
    <row r="18" spans="1:2" x14ac:dyDescent="0.2">
      <c r="A18" s="1" t="s">
        <v>15</v>
      </c>
      <c r="B18" s="3"/>
    </row>
    <row r="19" spans="1:2" x14ac:dyDescent="0.2">
      <c r="A19" t="s">
        <v>25</v>
      </c>
      <c r="B19" s="3">
        <v>1</v>
      </c>
    </row>
    <row r="20" spans="1:2" x14ac:dyDescent="0.2">
      <c r="A20" t="s">
        <v>17</v>
      </c>
      <c r="B20" s="3" t="s">
        <v>22</v>
      </c>
    </row>
    <row r="21" spans="1:2" x14ac:dyDescent="0.2">
      <c r="A21" t="s">
        <v>18</v>
      </c>
      <c r="B21" s="3" t="s">
        <v>16</v>
      </c>
    </row>
    <row r="22" spans="1:2" x14ac:dyDescent="0.2">
      <c r="A22" t="s">
        <v>19</v>
      </c>
      <c r="B22" s="3" t="s">
        <v>22</v>
      </c>
    </row>
    <row r="23" spans="1:2" x14ac:dyDescent="0.2">
      <c r="A23" t="s">
        <v>20</v>
      </c>
      <c r="B23" s="3" t="s">
        <v>22</v>
      </c>
    </row>
    <row r="24" spans="1:2" x14ac:dyDescent="0.2">
      <c r="A24" t="s">
        <v>21</v>
      </c>
      <c r="B24" s="3" t="s">
        <v>22</v>
      </c>
    </row>
    <row r="25" spans="1:2" x14ac:dyDescent="0.2">
      <c r="B25" s="3"/>
    </row>
    <row r="26" spans="1:2" x14ac:dyDescent="0.2">
      <c r="B26" s="3"/>
    </row>
    <row r="27" spans="1:2" x14ac:dyDescent="0.2">
      <c r="B27" s="3"/>
    </row>
  </sheetData>
  <mergeCells count="1">
    <mergeCell ref="C9:C10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E5AE4-EE66-F44B-942E-07AC5C5741E3}">
  <sheetPr codeName="Tabelle2"/>
  <dimension ref="A1:G12"/>
  <sheetViews>
    <sheetView tabSelected="1" workbookViewId="0">
      <selection activeCell="E3" sqref="E3"/>
    </sheetView>
  </sheetViews>
  <sheetFormatPr baseColWidth="10" defaultRowHeight="16" x14ac:dyDescent="0.2"/>
  <cols>
    <col min="1" max="1" width="14.6640625" customWidth="1"/>
    <col min="2" max="2" width="8.5" customWidth="1"/>
    <col min="3" max="3" width="8.5" bestFit="1" customWidth="1"/>
    <col min="4" max="4" width="5.33203125" bestFit="1" customWidth="1"/>
    <col min="5" max="5" width="18.33203125" bestFit="1" customWidth="1"/>
  </cols>
  <sheetData>
    <row r="1" spans="1:7" x14ac:dyDescent="0.2">
      <c r="A1" t="s">
        <v>32</v>
      </c>
      <c r="B1" t="s">
        <v>0</v>
      </c>
      <c r="C1" t="s">
        <v>31</v>
      </c>
      <c r="D1" t="s">
        <v>30</v>
      </c>
      <c r="E1" t="s">
        <v>1</v>
      </c>
      <c r="F1" t="s">
        <v>23</v>
      </c>
      <c r="G1" t="s">
        <v>24</v>
      </c>
    </row>
    <row r="2" spans="1:7" x14ac:dyDescent="0.2">
      <c r="A2">
        <v>70</v>
      </c>
      <c r="B2">
        <v>10</v>
      </c>
      <c r="C2">
        <v>0</v>
      </c>
      <c r="D2">
        <f>Tabelle1[[#This Row],[Plexiglas / mm]]+0.2</f>
        <v>0.2</v>
      </c>
      <c r="E2" s="6">
        <v>4664</v>
      </c>
      <c r="F2">
        <v>23.1</v>
      </c>
      <c r="G2">
        <v>997.5</v>
      </c>
    </row>
    <row r="3" spans="1:7" x14ac:dyDescent="0.2">
      <c r="A3">
        <v>100</v>
      </c>
      <c r="B3">
        <v>12</v>
      </c>
      <c r="C3">
        <v>0</v>
      </c>
      <c r="D3">
        <f>Tabelle1[[#This Row],[Plexiglas / mm]]+0.2</f>
        <v>0.2</v>
      </c>
      <c r="E3" s="6">
        <v>1256</v>
      </c>
      <c r="F3">
        <v>23.1</v>
      </c>
      <c r="G3">
        <v>997.5</v>
      </c>
    </row>
    <row r="4" spans="1:7" x14ac:dyDescent="0.2">
      <c r="A4">
        <v>70</v>
      </c>
      <c r="B4">
        <v>10</v>
      </c>
      <c r="C4">
        <v>10</v>
      </c>
      <c r="D4">
        <f>Tabelle1[[#This Row],[Plexiglas / mm]]+0.2</f>
        <v>10.199999999999999</v>
      </c>
      <c r="E4" s="6">
        <v>2813</v>
      </c>
      <c r="F4">
        <v>23.1</v>
      </c>
      <c r="G4">
        <v>997.5</v>
      </c>
    </row>
    <row r="5" spans="1:7" x14ac:dyDescent="0.2">
      <c r="A5">
        <v>100</v>
      </c>
      <c r="B5">
        <v>12</v>
      </c>
      <c r="C5">
        <v>10</v>
      </c>
      <c r="D5">
        <f>Tabelle1[[#This Row],[Plexiglas / mm]]+0.2</f>
        <v>10.199999999999999</v>
      </c>
      <c r="E5" s="6">
        <v>983.6</v>
      </c>
      <c r="F5">
        <v>23.1</v>
      </c>
      <c r="G5">
        <v>997.5</v>
      </c>
    </row>
    <row r="6" spans="1:7" x14ac:dyDescent="0.2">
      <c r="A6">
        <v>70</v>
      </c>
      <c r="B6">
        <v>10</v>
      </c>
      <c r="C6">
        <v>20</v>
      </c>
      <c r="D6">
        <f>Tabelle1[[#This Row],[Plexiglas / mm]]+0.2</f>
        <v>20.2</v>
      </c>
      <c r="E6" s="6">
        <v>1713</v>
      </c>
      <c r="F6">
        <v>23.1</v>
      </c>
      <c r="G6">
        <v>997.5</v>
      </c>
    </row>
    <row r="7" spans="1:7" x14ac:dyDescent="0.2">
      <c r="A7">
        <v>100</v>
      </c>
      <c r="B7">
        <v>12</v>
      </c>
      <c r="C7">
        <v>20</v>
      </c>
      <c r="D7">
        <f>Tabelle1[[#This Row],[Plexiglas / mm]]+0.2</f>
        <v>20.2</v>
      </c>
      <c r="E7" s="6">
        <v>734.5</v>
      </c>
      <c r="F7">
        <v>23.1</v>
      </c>
      <c r="G7">
        <v>997.5</v>
      </c>
    </row>
    <row r="8" spans="1:7" x14ac:dyDescent="0.2">
      <c r="A8">
        <v>70</v>
      </c>
      <c r="B8">
        <v>10</v>
      </c>
      <c r="C8">
        <v>30</v>
      </c>
      <c r="D8">
        <f>Tabelle1[[#This Row],[Plexiglas / mm]]+0.2</f>
        <v>30.2</v>
      </c>
      <c r="E8" s="6">
        <v>1087</v>
      </c>
      <c r="F8">
        <v>23.1</v>
      </c>
      <c r="G8">
        <v>997.5</v>
      </c>
    </row>
    <row r="9" spans="1:7" x14ac:dyDescent="0.2">
      <c r="A9">
        <v>100</v>
      </c>
      <c r="B9">
        <v>12</v>
      </c>
      <c r="C9">
        <v>30</v>
      </c>
      <c r="D9">
        <f>Tabelle1[[#This Row],[Plexiglas / mm]]+0.2</f>
        <v>30.2</v>
      </c>
      <c r="E9" s="6">
        <v>551.20000000000005</v>
      </c>
      <c r="F9">
        <v>23.1</v>
      </c>
      <c r="G9">
        <v>997.5</v>
      </c>
    </row>
    <row r="10" spans="1:7" x14ac:dyDescent="0.2">
      <c r="D10" s="6"/>
      <c r="E10" s="6"/>
    </row>
    <row r="11" spans="1:7" x14ac:dyDescent="0.2">
      <c r="D11" s="6"/>
      <c r="E11" s="6"/>
    </row>
    <row r="12" spans="1:7" x14ac:dyDescent="0.2">
      <c r="D12" s="6"/>
      <c r="E12" s="6"/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Grunddaten</vt:lpstr>
      <vt:lpstr>Messwerte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Manke</dc:creator>
  <cp:lastModifiedBy>Henning Manke</cp:lastModifiedBy>
  <dcterms:created xsi:type="dcterms:W3CDTF">2022-05-11T06:27:43Z</dcterms:created>
  <dcterms:modified xsi:type="dcterms:W3CDTF">2022-06-15T11:23:16Z</dcterms:modified>
</cp:coreProperties>
</file>