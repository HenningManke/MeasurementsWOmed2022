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silber/hinten/"/>
    </mc:Choice>
  </mc:AlternateContent>
  <xr:revisionPtr revIDLastSave="0" documentId="13_ncr:1_{C8BA39E8-A9F1-764B-9E9C-7D023CA772F0}" xr6:coauthVersionLast="47" xr6:coauthVersionMax="47" xr10:uidLastSave="{00000000-0000-0000-0000-000000000000}"/>
  <bookViews>
    <workbookView xWindow="0" yWindow="500" windowWidth="28400" windowHeight="23500" activeTab="2" xr2:uid="{B0E11E21-0F3D-8547-AB51-6C169E1D959C}"/>
  </bookViews>
  <sheets>
    <sheet name="Grunddaten" sheetId="1" r:id="rId1"/>
    <sheet name="Grundabstand" sheetId="2" r:id="rId2"/>
    <sheet name="Messwerte" sheetId="3" r:id="rId3"/>
    <sheet name="Messwerte_Diagramm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 a="1"/>
  <c r="D2" i="3" s="1"/>
  <c r="D3" i="3" a="1"/>
  <c r="D3" i="3" s="1"/>
  <c r="D4" i="3" a="1"/>
  <c r="D4" i="3" s="1"/>
  <c r="D5" i="3" a="1"/>
  <c r="D5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D11" i="3" a="1"/>
  <c r="D11" i="3" s="1"/>
  <c r="D12" i="3" a="1"/>
  <c r="D12" i="3" s="1"/>
  <c r="D13" i="3" a="1"/>
  <c r="D13" i="3"/>
  <c r="D14" i="3" a="1"/>
  <c r="D14" i="3" s="1"/>
  <c r="D15" i="3" a="1"/>
  <c r="D1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3" i="3" a="1"/>
  <c r="D23" i="3" s="1"/>
  <c r="D24" i="3" a="1"/>
  <c r="D24" i="3" s="1"/>
  <c r="D25" i="3" a="1"/>
  <c r="D25" i="3" s="1"/>
  <c r="D26" i="3" a="1"/>
  <c r="D26" i="3" s="1"/>
  <c r="D27" i="3" a="1"/>
  <c r="D27" i="3" s="1"/>
  <c r="D28" i="3" a="1"/>
  <c r="D28" i="3" s="1"/>
  <c r="D29" i="3" a="1"/>
  <c r="D29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D43" i="3" a="1"/>
  <c r="D43" i="3" s="1"/>
  <c r="D44" i="3" a="1"/>
  <c r="D44" i="3" s="1"/>
  <c r="D45" i="3" a="1"/>
  <c r="D45" i="3" s="1"/>
  <c r="D46" i="3" a="1"/>
  <c r="D46" i="3" s="1"/>
  <c r="D47" i="3" a="1"/>
  <c r="D47" i="3" s="1"/>
  <c r="D48" i="3" a="1"/>
  <c r="D48" i="3" s="1"/>
  <c r="D49" i="3" a="1"/>
  <c r="D49" i="3" s="1"/>
  <c r="D50" i="3" a="1"/>
  <c r="D50" i="3" s="1"/>
  <c r="D51" i="3" a="1"/>
  <c r="D51" i="3" s="1"/>
  <c r="D52" i="3" a="1"/>
  <c r="D52" i="3" s="1"/>
  <c r="D53" i="3" a="1"/>
  <c r="D53" i="3" s="1"/>
  <c r="D54" i="3" a="1"/>
  <c r="D54" i="3" s="1"/>
  <c r="D55" i="3" a="1"/>
  <c r="D55" i="3" s="1"/>
  <c r="D56" i="3" a="1"/>
  <c r="D56" i="3" s="1"/>
  <c r="D57" i="3" a="1"/>
  <c r="D57" i="3" s="1"/>
  <c r="B24" i="1"/>
  <c r="B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<sst xmlns="http://schemas.openxmlformats.org/spreadsheetml/2006/main" count="106" uniqueCount="38">
  <si>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</si>
  <si>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</si>
  <si>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</si>
  <si>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</si>
  <si>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</si>
  <si>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</si>
  <si>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</si>
  <si>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</si>
  <si>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</si>
  <si>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</si>
  <si>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</si>
  <si>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</si>
  <si>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</si>
  <si>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</si>
  <si>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</si>
  <si>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</si>
  <si>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</si>
  <si>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</si>
  <si>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</si>
  <si>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</si>
  <si>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</si>
  <si>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</si>
  <si>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</si>
  <si>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Temperatur / °C</t>
  </si>
  <si>
    <t>Luftdruck</t>
  </si>
  <si>
    <t>Strom / mA</t>
  </si>
  <si>
    <t>Spannung_PM / V</t>
  </si>
  <si>
    <t>Dunkelstrom / nA</t>
  </si>
  <si>
    <t>Dunkelstrom_Fehler / nA</t>
  </si>
  <si>
    <t>Röhrennummer</t>
  </si>
  <si>
    <t>Strahlspannung</t>
  </si>
  <si>
    <t>Filtermaterial</t>
  </si>
  <si>
    <t>Filterdicke</t>
  </si>
  <si>
    <t>Einstrahlrichtung</t>
  </si>
  <si>
    <t>hinten</t>
  </si>
  <si>
    <t>CCB</t>
  </si>
  <si>
    <t>ID</t>
  </si>
  <si>
    <t>silber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</si>
</sst>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8">
    <dxf>
      <numFmt numFmtId="2" formatCode="0.00"/>
    </dxf>
    <dxf>
      <numFmt numFmtId="2" formatCode="0.0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5.9799999999999999E-2</c:v>
                  </c:pt>
                  <c:pt idx="1">
                    <c:v>6.5799999999999997E-2</c:v>
                  </c:pt>
                  <c:pt idx="2">
                    <c:v>7.4399999999999994E-2</c:v>
                  </c:pt>
                  <c:pt idx="3">
                    <c:v>7.4999999999999997E-2</c:v>
                  </c:pt>
                  <c:pt idx="4">
                    <c:v>9.8400000000000001E-2</c:v>
                  </c:pt>
                  <c:pt idx="5">
                    <c:v>6.4899999999999999E-2</c:v>
                  </c:pt>
                  <c:pt idx="6">
                    <c:v>7.8200000000000006E-2</c:v>
                  </c:pt>
                  <c:pt idx="7">
                    <c:v>8.6300000000000002E-2</c:v>
                  </c:pt>
                  <c:pt idx="8">
                    <c:v>9.2899999999999996E-2</c:v>
                  </c:pt>
                  <c:pt idx="9">
                    <c:v>0.11</c:v>
                  </c:pt>
                  <c:pt idx="10">
                    <c:v>7.0999999999999994E-2</c:v>
                  </c:pt>
                  <c:pt idx="11">
                    <c:v>5.9499999999999997E-2</c:v>
                  </c:pt>
                  <c:pt idx="12">
                    <c:v>7.9100000000000004E-2</c:v>
                  </c:pt>
                  <c:pt idx="13">
                    <c:v>7.9000000000000001E-2</c:v>
                  </c:pt>
                  <c:pt idx="14">
                    <c:v>9.9500000000000005E-2</c:v>
                  </c:pt>
                  <c:pt idx="15">
                    <c:v>7.2999999999999995E-2</c:v>
                  </c:pt>
                  <c:pt idx="16">
                    <c:v>6.3899999999999998E-2</c:v>
                  </c:pt>
                  <c:pt idx="17">
                    <c:v>8.2600000000000007E-2</c:v>
                  </c:pt>
                  <c:pt idx="18">
                    <c:v>8.1100000000000005E-2</c:v>
                  </c:pt>
                  <c:pt idx="19">
                    <c:v>0.1</c:v>
                  </c:pt>
                  <c:pt idx="20">
                    <c:v>6.4399999999999999E-2</c:v>
                  </c:pt>
                  <c:pt idx="21">
                    <c:v>6.6000000000000003E-2</c:v>
                  </c:pt>
                  <c:pt idx="22">
                    <c:v>7.8200000000000006E-2</c:v>
                  </c:pt>
                  <c:pt idx="23">
                    <c:v>8.7999999999999995E-2</c:v>
                  </c:pt>
                  <c:pt idx="24">
                    <c:v>0.105</c:v>
                  </c:pt>
                  <c:pt idx="25">
                    <c:v>6.6199999999999995E-2</c:v>
                  </c:pt>
                  <c:pt idx="26">
                    <c:v>7.2999999999999995E-2</c:v>
                  </c:pt>
                  <c:pt idx="27">
                    <c:v>7.5800000000000006E-2</c:v>
                  </c:pt>
                  <c:pt idx="28">
                    <c:v>0.1</c:v>
                  </c:pt>
                  <c:pt idx="29">
                    <c:v>0.109</c:v>
                  </c:pt>
                  <c:pt idx="30">
                    <c:v>5.6000000000000001E-2</c:v>
                  </c:pt>
                  <c:pt idx="31">
                    <c:v>7.0800000000000002E-2</c:v>
                  </c:pt>
                  <c:pt idx="32">
                    <c:v>7.7399999999999997E-2</c:v>
                  </c:pt>
                  <c:pt idx="33">
                    <c:v>9.2499999999999999E-2</c:v>
                  </c:pt>
                  <c:pt idx="34">
                    <c:v>9.7299999999999998E-2</c:v>
                  </c:pt>
                  <c:pt idx="35">
                    <c:v>6.5699999999999995E-2</c:v>
                  </c:pt>
                  <c:pt idx="36">
                    <c:v>6.5199999999999994E-2</c:v>
                  </c:pt>
                  <c:pt idx="37">
                    <c:v>7.8200000000000006E-2</c:v>
                  </c:pt>
                  <c:pt idx="38">
                    <c:v>8.6599999999999996E-2</c:v>
                  </c:pt>
                  <c:pt idx="39">
                    <c:v>0.11700000000000001</c:v>
                  </c:pt>
                  <c:pt idx="40">
                    <c:v>6.5000000000000002E-2</c:v>
                  </c:pt>
                  <c:pt idx="41">
                    <c:v>6.8599999999999994E-2</c:v>
                  </c:pt>
                  <c:pt idx="42">
                    <c:v>7.7200000000000005E-2</c:v>
                  </c:pt>
                  <c:pt idx="43">
                    <c:v>9.9699999999999997E-2</c:v>
                  </c:pt>
                  <c:pt idx="44">
                    <c:v>5.7299999999999997E-2</c:v>
                  </c:pt>
                  <c:pt idx="45">
                    <c:v>7.4999999999999997E-2</c:v>
                  </c:pt>
                  <c:pt idx="46">
                    <c:v>7.46E-2</c:v>
                  </c:pt>
                  <c:pt idx="47">
                    <c:v>9.8500000000000004E-2</c:v>
                  </c:pt>
                  <c:pt idx="48">
                    <c:v>6.4899999999999999E-2</c:v>
                  </c:pt>
                  <c:pt idx="49">
                    <c:v>7.2400000000000006E-2</c:v>
                  </c:pt>
                  <c:pt idx="50">
                    <c:v>9.2799999999999994E-2</c:v>
                  </c:pt>
                  <c:pt idx="51">
                    <c:v>0.10299999999999999</c:v>
                  </c:pt>
                  <c:pt idx="52">
                    <c:v>6.8500000000000005E-2</c:v>
                  </c:pt>
                  <c:pt idx="53">
                    <c:v>8.3900000000000002E-2</c:v>
                  </c:pt>
                  <c:pt idx="54">
                    <c:v>7.7600000000000002E-2</c:v>
                  </c:pt>
                  <c:pt idx="55">
                    <c:v>0.1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5.9799999999999999E-2</c:v>
                  </c:pt>
                  <c:pt idx="1">
                    <c:v>6.5799999999999997E-2</c:v>
                  </c:pt>
                  <c:pt idx="2">
                    <c:v>7.4399999999999994E-2</c:v>
                  </c:pt>
                  <c:pt idx="3">
                    <c:v>7.4999999999999997E-2</c:v>
                  </c:pt>
                  <c:pt idx="4">
                    <c:v>9.8400000000000001E-2</c:v>
                  </c:pt>
                  <c:pt idx="5">
                    <c:v>6.4899999999999999E-2</c:v>
                  </c:pt>
                  <c:pt idx="6">
                    <c:v>7.8200000000000006E-2</c:v>
                  </c:pt>
                  <c:pt idx="7">
                    <c:v>8.6300000000000002E-2</c:v>
                  </c:pt>
                  <c:pt idx="8">
                    <c:v>9.2899999999999996E-2</c:v>
                  </c:pt>
                  <c:pt idx="9">
                    <c:v>0.11</c:v>
                  </c:pt>
                  <c:pt idx="10">
                    <c:v>7.0999999999999994E-2</c:v>
                  </c:pt>
                  <c:pt idx="11">
                    <c:v>5.9499999999999997E-2</c:v>
                  </c:pt>
                  <c:pt idx="12">
                    <c:v>7.9100000000000004E-2</c:v>
                  </c:pt>
                  <c:pt idx="13">
                    <c:v>7.9000000000000001E-2</c:v>
                  </c:pt>
                  <c:pt idx="14">
                    <c:v>9.9500000000000005E-2</c:v>
                  </c:pt>
                  <c:pt idx="15">
                    <c:v>7.2999999999999995E-2</c:v>
                  </c:pt>
                  <c:pt idx="16">
                    <c:v>6.3899999999999998E-2</c:v>
                  </c:pt>
                  <c:pt idx="17">
                    <c:v>8.2600000000000007E-2</c:v>
                  </c:pt>
                  <c:pt idx="18">
                    <c:v>8.1100000000000005E-2</c:v>
                  </c:pt>
                  <c:pt idx="19">
                    <c:v>0.1</c:v>
                  </c:pt>
                  <c:pt idx="20">
                    <c:v>6.4399999999999999E-2</c:v>
                  </c:pt>
                  <c:pt idx="21">
                    <c:v>6.6000000000000003E-2</c:v>
                  </c:pt>
                  <c:pt idx="22">
                    <c:v>7.8200000000000006E-2</c:v>
                  </c:pt>
                  <c:pt idx="23">
                    <c:v>8.7999999999999995E-2</c:v>
                  </c:pt>
                  <c:pt idx="24">
                    <c:v>0.105</c:v>
                  </c:pt>
                  <c:pt idx="25">
                    <c:v>6.6199999999999995E-2</c:v>
                  </c:pt>
                  <c:pt idx="26">
                    <c:v>7.2999999999999995E-2</c:v>
                  </c:pt>
                  <c:pt idx="27">
                    <c:v>7.5800000000000006E-2</c:v>
                  </c:pt>
                  <c:pt idx="28">
                    <c:v>0.1</c:v>
                  </c:pt>
                  <c:pt idx="29">
                    <c:v>0.109</c:v>
                  </c:pt>
                  <c:pt idx="30">
                    <c:v>5.6000000000000001E-2</c:v>
                  </c:pt>
                  <c:pt idx="31">
                    <c:v>7.0800000000000002E-2</c:v>
                  </c:pt>
                  <c:pt idx="32">
                    <c:v>7.7399999999999997E-2</c:v>
                  </c:pt>
                  <c:pt idx="33">
                    <c:v>9.2499999999999999E-2</c:v>
                  </c:pt>
                  <c:pt idx="34">
                    <c:v>9.7299999999999998E-2</c:v>
                  </c:pt>
                  <c:pt idx="35">
                    <c:v>6.5699999999999995E-2</c:v>
                  </c:pt>
                  <c:pt idx="36">
                    <c:v>6.5199999999999994E-2</c:v>
                  </c:pt>
                  <c:pt idx="37">
                    <c:v>7.8200000000000006E-2</c:v>
                  </c:pt>
                  <c:pt idx="38">
                    <c:v>8.6599999999999996E-2</c:v>
                  </c:pt>
                  <c:pt idx="39">
                    <c:v>0.11700000000000001</c:v>
                  </c:pt>
                  <c:pt idx="40">
                    <c:v>6.5000000000000002E-2</c:v>
                  </c:pt>
                  <c:pt idx="41">
                    <c:v>6.8599999999999994E-2</c:v>
                  </c:pt>
                  <c:pt idx="42">
                    <c:v>7.7200000000000005E-2</c:v>
                  </c:pt>
                  <c:pt idx="43">
                    <c:v>9.9699999999999997E-2</c:v>
                  </c:pt>
                  <c:pt idx="44">
                    <c:v>5.7299999999999997E-2</c:v>
                  </c:pt>
                  <c:pt idx="45">
                    <c:v>7.4999999999999997E-2</c:v>
                  </c:pt>
                  <c:pt idx="46">
                    <c:v>7.46E-2</c:v>
                  </c:pt>
                  <c:pt idx="47">
                    <c:v>9.8500000000000004E-2</c:v>
                  </c:pt>
                  <c:pt idx="48">
                    <c:v>6.4899999999999999E-2</c:v>
                  </c:pt>
                  <c:pt idx="49">
                    <c:v>7.2400000000000006E-2</c:v>
                  </c:pt>
                  <c:pt idx="50">
                    <c:v>9.2799999999999994E-2</c:v>
                  </c:pt>
                  <c:pt idx="51">
                    <c:v>0.10299999999999999</c:v>
                  </c:pt>
                  <c:pt idx="52">
                    <c:v>6.8500000000000005E-2</c:v>
                  </c:pt>
                  <c:pt idx="53">
                    <c:v>8.3900000000000002E-2</c:v>
                  </c:pt>
                  <c:pt idx="54">
                    <c:v>7.7600000000000002E-2</c:v>
                  </c:pt>
                  <c:pt idx="55">
                    <c:v>0.1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32</c:v>
                </c:pt>
                <c:pt idx="1">
                  <c:v>26</c:v>
                </c:pt>
                <c:pt idx="2">
                  <c:v>20</c:v>
                </c:pt>
                <c:pt idx="3">
                  <c:v>14</c:v>
                </c:pt>
                <c:pt idx="4">
                  <c:v>8</c:v>
                </c:pt>
                <c:pt idx="5">
                  <c:v>28.5</c:v>
                </c:pt>
                <c:pt idx="6">
                  <c:v>22.5</c:v>
                </c:pt>
                <c:pt idx="7">
                  <c:v>16.5</c:v>
                </c:pt>
                <c:pt idx="8">
                  <c:v>10.5</c:v>
                </c:pt>
                <c:pt idx="9">
                  <c:v>4.5</c:v>
                </c:pt>
                <c:pt idx="10">
                  <c:v>31.5</c:v>
                </c:pt>
                <c:pt idx="11">
                  <c:v>25.5</c:v>
                </c:pt>
                <c:pt idx="12">
                  <c:v>19.5</c:v>
                </c:pt>
                <c:pt idx="13">
                  <c:v>13.5</c:v>
                </c:pt>
                <c:pt idx="14">
                  <c:v>7.5</c:v>
                </c:pt>
                <c:pt idx="15">
                  <c:v>29</c:v>
                </c:pt>
                <c:pt idx="16">
                  <c:v>23</c:v>
                </c:pt>
                <c:pt idx="17">
                  <c:v>17</c:v>
                </c:pt>
                <c:pt idx="18">
                  <c:v>11</c:v>
                </c:pt>
                <c:pt idx="19">
                  <c:v>5</c:v>
                </c:pt>
                <c:pt idx="20">
                  <c:v>31</c:v>
                </c:pt>
                <c:pt idx="21">
                  <c:v>25</c:v>
                </c:pt>
                <c:pt idx="22">
                  <c:v>19</c:v>
                </c:pt>
                <c:pt idx="23">
                  <c:v>13</c:v>
                </c:pt>
                <c:pt idx="24">
                  <c:v>7</c:v>
                </c:pt>
                <c:pt idx="25">
                  <c:v>29.5</c:v>
                </c:pt>
                <c:pt idx="26">
                  <c:v>23.5</c:v>
                </c:pt>
                <c:pt idx="27">
                  <c:v>17.5</c:v>
                </c:pt>
                <c:pt idx="28">
                  <c:v>11.5</c:v>
                </c:pt>
                <c:pt idx="29">
                  <c:v>5.5</c:v>
                </c:pt>
                <c:pt idx="30">
                  <c:v>30.5</c:v>
                </c:pt>
                <c:pt idx="31">
                  <c:v>24.5</c:v>
                </c:pt>
                <c:pt idx="32">
                  <c:v>18.5</c:v>
                </c:pt>
                <c:pt idx="33">
                  <c:v>12.5</c:v>
                </c:pt>
                <c:pt idx="34">
                  <c:v>6.5</c:v>
                </c:pt>
                <c:pt idx="35">
                  <c:v>30</c:v>
                </c:pt>
                <c:pt idx="36">
                  <c:v>24</c:v>
                </c:pt>
                <c:pt idx="37">
                  <c:v>18</c:v>
                </c:pt>
                <c:pt idx="38">
                  <c:v>12</c:v>
                </c:pt>
                <c:pt idx="39">
                  <c:v>6</c:v>
                </c:pt>
                <c:pt idx="40">
                  <c:v>27.5</c:v>
                </c:pt>
                <c:pt idx="41">
                  <c:v>21.5</c:v>
                </c:pt>
                <c:pt idx="42">
                  <c:v>15.5</c:v>
                </c:pt>
                <c:pt idx="43">
                  <c:v>9.5</c:v>
                </c:pt>
                <c:pt idx="44">
                  <c:v>27</c:v>
                </c:pt>
                <c:pt idx="45">
                  <c:v>21</c:v>
                </c:pt>
                <c:pt idx="46">
                  <c:v>15</c:v>
                </c:pt>
                <c:pt idx="47">
                  <c:v>9</c:v>
                </c:pt>
                <c:pt idx="48">
                  <c:v>28</c:v>
                </c:pt>
                <c:pt idx="49">
                  <c:v>22</c:v>
                </c:pt>
                <c:pt idx="50">
                  <c:v>16</c:v>
                </c:pt>
                <c:pt idx="51">
                  <c:v>10</c:v>
                </c:pt>
                <c:pt idx="52">
                  <c:v>26.5</c:v>
                </c:pt>
                <c:pt idx="53">
                  <c:v>20.5</c:v>
                </c:pt>
                <c:pt idx="54">
                  <c:v>14.5</c:v>
                </c:pt>
                <c:pt idx="55">
                  <c:v>8.5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87.616122000000004</c:v>
                </c:pt>
                <c:pt idx="1">
                  <c:v>99.927026999999995</c:v>
                </c:pt>
                <c:pt idx="2">
                  <c:v>131.76242400000001</c:v>
                </c:pt>
                <c:pt idx="3">
                  <c:v>173.75736900000001</c:v>
                </c:pt>
                <c:pt idx="4">
                  <c:v>232.11891299999999</c:v>
                </c:pt>
                <c:pt idx="5">
                  <c:v>97.910882000000001</c:v>
                </c:pt>
                <c:pt idx="6">
                  <c:v>125.629659</c:v>
                </c:pt>
                <c:pt idx="7">
                  <c:v>164.88793899999999</c:v>
                </c:pt>
                <c:pt idx="8">
                  <c:v>204.106022</c:v>
                </c:pt>
                <c:pt idx="9">
                  <c:v>278.57813499999997</c:v>
                </c:pt>
                <c:pt idx="10">
                  <c:v>84.262285000000006</c:v>
                </c:pt>
                <c:pt idx="11">
                  <c:v>104.491429</c:v>
                </c:pt>
                <c:pt idx="12">
                  <c:v>134.37028799999999</c:v>
                </c:pt>
                <c:pt idx="13">
                  <c:v>178.14541399999999</c:v>
                </c:pt>
                <c:pt idx="14">
                  <c:v>238.41752199999999</c:v>
                </c:pt>
                <c:pt idx="15">
                  <c:v>91.923933000000005</c:v>
                </c:pt>
                <c:pt idx="16">
                  <c:v>115.71309100000001</c:v>
                </c:pt>
                <c:pt idx="17">
                  <c:v>151.271378</c:v>
                </c:pt>
                <c:pt idx="18">
                  <c:v>201.996633</c:v>
                </c:pt>
                <c:pt idx="19">
                  <c:v>271.34832399999999</c:v>
                </c:pt>
                <c:pt idx="20">
                  <c:v>85.121358000000001</c:v>
                </c:pt>
                <c:pt idx="21">
                  <c:v>106.245576</c:v>
                </c:pt>
                <c:pt idx="22">
                  <c:v>137.232709</c:v>
                </c:pt>
                <c:pt idx="23">
                  <c:v>181.134343</c:v>
                </c:pt>
                <c:pt idx="24">
                  <c:v>243.46574200000001</c:v>
                </c:pt>
                <c:pt idx="25">
                  <c:v>89.640585999999999</c:v>
                </c:pt>
                <c:pt idx="26">
                  <c:v>113.827084</c:v>
                </c:pt>
                <c:pt idx="27">
                  <c:v>149.13717299999999</c:v>
                </c:pt>
                <c:pt idx="28">
                  <c:v>196.24527599999999</c:v>
                </c:pt>
                <c:pt idx="29">
                  <c:v>263.99062500000002</c:v>
                </c:pt>
                <c:pt idx="30">
                  <c:v>87.255037000000002</c:v>
                </c:pt>
                <c:pt idx="31">
                  <c:v>108.708113</c:v>
                </c:pt>
                <c:pt idx="32">
                  <c:v>141.55525299999999</c:v>
                </c:pt>
                <c:pt idx="33">
                  <c:v>188.11110500000001</c:v>
                </c:pt>
                <c:pt idx="34">
                  <c:v>251.69010599999999</c:v>
                </c:pt>
                <c:pt idx="35">
                  <c:v>87.799336999999994</c:v>
                </c:pt>
                <c:pt idx="36">
                  <c:v>110.22848999999999</c:v>
                </c:pt>
                <c:pt idx="37">
                  <c:v>143.80745400000001</c:v>
                </c:pt>
                <c:pt idx="38">
                  <c:v>192.146976</c:v>
                </c:pt>
                <c:pt idx="39">
                  <c:v>257.99749400000002</c:v>
                </c:pt>
                <c:pt idx="40">
                  <c:v>95.415171000000001</c:v>
                </c:pt>
                <c:pt idx="41">
                  <c:v>122.70156299999999</c:v>
                </c:pt>
                <c:pt idx="42">
                  <c:v>160.536022</c:v>
                </c:pt>
                <c:pt idx="43">
                  <c:v>213.50860399999999</c:v>
                </c:pt>
                <c:pt idx="44">
                  <c:v>97.528447999999997</c:v>
                </c:pt>
                <c:pt idx="45">
                  <c:v>124.883504</c:v>
                </c:pt>
                <c:pt idx="46">
                  <c:v>163.65969799999999</c:v>
                </c:pt>
                <c:pt idx="47">
                  <c:v>219.40400199999999</c:v>
                </c:pt>
                <c:pt idx="48">
                  <c:v>98.562506999999997</c:v>
                </c:pt>
                <c:pt idx="49">
                  <c:v>117.39572099999999</c:v>
                </c:pt>
                <c:pt idx="50">
                  <c:v>155.84180799999999</c:v>
                </c:pt>
                <c:pt idx="51">
                  <c:v>208.24549500000001</c:v>
                </c:pt>
                <c:pt idx="52">
                  <c:v>102.93598799999999</c:v>
                </c:pt>
                <c:pt idx="53">
                  <c:v>134.06621899999999</c:v>
                </c:pt>
                <c:pt idx="54">
                  <c:v>167.573331</c:v>
                </c:pt>
                <c:pt idx="55">
                  <c:v>225.417284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 codeName="Diagramm4"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7"/>
    <tableColumn id="2" xr3:uid="{39D2E711-139E-DB40-B940-9EB95B993BCC}" name="Orientierung" dataDxfId="6"/>
    <tableColumn id="3" xr3:uid="{70CE2504-AD3F-8844-83CF-779750679C7A}" name="Grundabstand" dataDxfId="5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7" totalsRowShown="0">
  <autoFilter ref="A1:H57" xr:uid="{F7DC5883-848F-3148-B105-3DA5053DB473}"/>
  <sortState xmlns:xlrd2="http://schemas.microsoft.com/office/spreadsheetml/2017/richdata2" ref="A2:G57">
    <sortCondition ref="A2:A57"/>
    <sortCondition descending="1" ref="B2:B57"/>
    <sortCondition descending="1" ref="C2:C57"/>
  </sortState>
  <tableColumns count="8">
    <tableColumn id="1" xr3:uid="{DDB87365-E84F-DE44-BE74-D1D88C899583}" name="Halterung" dataDxfId="4"/>
    <tableColumn id="2" xr3:uid="{E63245AB-3E9A-1A45-9E51-961AA4DB20DB}" name="Orientierung" dataDxfId="3"/>
    <tableColumn id="4" xr3:uid="{DF78FFFA-ED20-3540-A29B-8AFAB0F6EBE4}" name="Messpunkt"/>
    <tableColumn id="5" xr3:uid="{0322773A-1725-7244-BBFF-F9EF7439C0C6}" name="Abstand / mm" dataDxfId="2">
      <calculatedColumnFormula array="1">(C2-1)*6 + VLOOKUP(Messwerte[[#This Row],[Halterung]]&amp;Messwerte[[#This Row],[Orientierung]],CHOOSE({1,2},Grundabstand[Halterung]&amp;Grundabstand[Orientierung],Grundabstand[Grundabstand]),2,0)+1</calculatedColumnFormula>
    </tableColumn>
    <tableColumn id="6" xr3:uid="{796C01A9-8C49-E34F-B535-695D93F3EB13}" name="Strom / nA" dataDxfId="1"/>
    <tableColumn id="7" xr3:uid="{26476CCB-61FA-9040-9CD8-7D25A317245C}" name="Unsicherheit / nA" dataDxfId="0"/>
    <tableColumn id="3" xr3:uid="{8D8A8BFE-DDA3-B34D-801B-1021FF06E62A}" name="Temperatur / °C"/>
    <tableColumn id="8" xr3:uid="{89A0942C-9221-744E-BAB2-C7BA2A7486EA}" name="Luftdruck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sheetPr codeName="Tabelle1"/>
  <dimension ref="A1:G108"/>
  <sheetViews>
    <sheetView zoomScale="120" zoomScaleNormal="120" workbookViewId="0">
      <selection activeCell="B6" sqref="B6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44687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33</v>
      </c>
      <c r="B3" s="2" t="s">
        <v>34</v>
      </c>
    </row>
    <row r="4" spans="1:5" x14ac:dyDescent="0.2">
      <c r="A4" t="s">
        <v>35</v>
      </c>
      <c r="B4" s="2" t="s">
        <v>37</v>
      </c>
    </row>
    <row r="5" spans="1:5" x14ac:dyDescent="0.2">
      <c r="A5" t="s">
        <v>36</v>
      </c>
      <c r="B5" s="2">
        <v>24</v>
      </c>
    </row>
    <row r="7" spans="1:5" x14ac:dyDescent="0.2">
      <c r="A7" s="1" t="s">
        <v>7</v>
      </c>
      <c r="B7" s="4"/>
    </row>
    <row r="8" spans="1:5" x14ac:dyDescent="0.2">
      <c r="A8" t="s">
        <v>26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27</v>
      </c>
      <c r="B12">
        <v>1.508E-3</v>
      </c>
    </row>
    <row r="13" spans="1:5" x14ac:dyDescent="0.2">
      <c r="A13" t="s">
        <v>28</v>
      </c>
      <c r="B13">
        <v>1.5300000000000001E-4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29</v>
      </c>
      <c r="B19" s="2">
        <v>1</v>
      </c>
    </row>
    <row r="20" spans="1:5" x14ac:dyDescent="0.2">
      <c r="A20" t="s">
        <v>30</v>
      </c>
      <c r="B20" s="2">
        <v>70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25</v>
      </c>
      <c r="B22" s="2">
        <v>3</v>
      </c>
    </row>
    <row r="23" spans="1:5" x14ac:dyDescent="0.2">
      <c r="A23" t="s">
        <v>31</v>
      </c>
      <c r="B23" s="2" t="str">
        <f>IF(B20=70, "Aluminium", "Kupfer")</f>
        <v>Aluminium</v>
      </c>
    </row>
    <row r="24" spans="1:5" x14ac:dyDescent="0.2">
      <c r="A24" t="s">
        <v>32</v>
      </c>
      <c r="B24" s="2">
        <f>IF(B20=70, 1, 0.5)</f>
        <v>1</v>
      </c>
    </row>
    <row r="28" spans="1:5" x14ac:dyDescent="0.2">
      <c r="E28" s="1"/>
    </row>
    <row r="44" spans="7:7" ht="49" customHeight="1" x14ac:dyDescent="0.2">
      <c r="G44" s="7"/>
    </row>
    <row r="102" spans="1:6" x14ac:dyDescent="0.2">
      <c r="E102" s="8"/>
      <c r="F102" s="8"/>
    </row>
    <row r="103" spans="1:6" x14ac:dyDescent="0.2">
      <c r="E103" s="8"/>
      <c r="F103" s="8"/>
    </row>
    <row r="104" spans="1:6" x14ac:dyDescent="0.2">
      <c r="E104" s="8"/>
      <c r="F104" s="8"/>
    </row>
    <row r="105" spans="1:6" x14ac:dyDescent="0.2">
      <c r="A105" s="5"/>
      <c r="B105" s="6"/>
      <c r="E105" s="8"/>
      <c r="F105" s="8"/>
    </row>
    <row r="106" spans="1:6" x14ac:dyDescent="0.2">
      <c r="A106" s="5"/>
      <c r="B106" s="6"/>
    </row>
    <row r="107" spans="1:6" x14ac:dyDescent="0.2">
      <c r="A107" s="5"/>
      <c r="B107" s="6"/>
    </row>
    <row r="108" spans="1:6" x14ac:dyDescent="0.2">
      <c r="A108" s="5"/>
      <c r="B108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sheetPr codeName="Tabelle2"/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0" t="s">
        <v>11</v>
      </c>
      <c r="B1" s="10"/>
      <c r="C1" s="10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sheetPr codeName="Tabelle3"/>
  <dimension ref="A1:H57"/>
  <sheetViews>
    <sheetView tabSelected="1" zoomScaleNormal="100" workbookViewId="0">
      <selection activeCell="L15" sqref="L15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7" max="7" width="17" bestFit="1" customWidth="1"/>
  </cols>
  <sheetData>
    <row r="1" spans="1:8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t="s">
        <v>23</v>
      </c>
      <c r="H1" t="s">
        <v>24</v>
      </c>
    </row>
    <row r="2" spans="1:8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Row],[Orientierung]],CHOOSE({1,2},Grundabstand[Halterung]&amp;Grundabstand[Orientierung],Grundabstand[Grundabstand]),2,0)+1</f>
        <v>32</v>
      </c>
      <c r="E2" s="8">
        <v>87.616122000000004</v>
      </c>
      <c r="F2" s="8">
        <v>5.9799999999999999E-2</v>
      </c>
      <c r="G2">
        <v>23.9</v>
      </c>
      <c r="H2">
        <v>985.1</v>
      </c>
    </row>
    <row r="3" spans="1:8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Row],[Orientierung]],CHOOSE({1,2},Grundabstand[Halterung]&amp;Grundabstand[Orientierung],Grundabstand[Grundabstand]),2,0)+1</f>
        <v>26</v>
      </c>
      <c r="E3" s="8">
        <v>99.927026999999995</v>
      </c>
      <c r="F3" s="8">
        <v>6.5799999999999997E-2</v>
      </c>
      <c r="G3">
        <v>23.9</v>
      </c>
      <c r="H3">
        <v>985.1</v>
      </c>
    </row>
    <row r="4" spans="1:8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Row],[Orientierung]],CHOOSE({1,2},Grundabstand[Halterung]&amp;Grundabstand[Orientierung],Grundabstand[Grundabstand]),2,0)+1</f>
        <v>20</v>
      </c>
      <c r="E4" s="8">
        <v>131.76242400000001</v>
      </c>
      <c r="F4" s="8">
        <v>7.4399999999999994E-2</v>
      </c>
      <c r="G4">
        <v>23.9</v>
      </c>
      <c r="H4">
        <v>985.1</v>
      </c>
    </row>
    <row r="5" spans="1:8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Row],[Orientierung]],CHOOSE({1,2},Grundabstand[Halterung]&amp;Grundabstand[Orientierung],Grundabstand[Grundabstand]),2,0)+1</f>
        <v>14</v>
      </c>
      <c r="E5" s="8">
        <v>173.75736900000001</v>
      </c>
      <c r="F5" s="8">
        <v>7.4999999999999997E-2</v>
      </c>
      <c r="G5">
        <v>23.9</v>
      </c>
      <c r="H5">
        <v>985.1</v>
      </c>
    </row>
    <row r="6" spans="1:8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Row],[Orientierung]],CHOOSE({1,2},Grundabstand[Halterung]&amp;Grundabstand[Orientierung],Grundabstand[Grundabstand]),2,0)+1</f>
        <v>8</v>
      </c>
      <c r="E6" s="8">
        <v>232.11891299999999</v>
      </c>
      <c r="F6" s="8">
        <v>9.8400000000000001E-2</v>
      </c>
      <c r="G6">
        <v>23.9</v>
      </c>
      <c r="H6">
        <v>985.1</v>
      </c>
    </row>
    <row r="7" spans="1:8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Row],[Orientierung]],CHOOSE({1,2},Grundabstand[Halterung]&amp;Grundabstand[Orientierung],Grundabstand[Grundabstand]),2,0)+1</f>
        <v>28.5</v>
      </c>
      <c r="E7" s="8">
        <v>97.910882000000001</v>
      </c>
      <c r="F7" s="8">
        <v>6.4899999999999999E-2</v>
      </c>
      <c r="G7">
        <v>23.9</v>
      </c>
      <c r="H7">
        <v>985.1</v>
      </c>
    </row>
    <row r="8" spans="1:8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Row],[Orientierung]],CHOOSE({1,2},Grundabstand[Halterung]&amp;Grundabstand[Orientierung],Grundabstand[Grundabstand]),2,0)+1</f>
        <v>22.5</v>
      </c>
      <c r="E8" s="8">
        <v>125.629659</v>
      </c>
      <c r="F8" s="8">
        <v>7.8200000000000006E-2</v>
      </c>
      <c r="G8">
        <v>23.9</v>
      </c>
      <c r="H8">
        <v>985.1</v>
      </c>
    </row>
    <row r="9" spans="1:8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Row],[Orientierung]],CHOOSE({1,2},Grundabstand[Halterung]&amp;Grundabstand[Orientierung],Grundabstand[Grundabstand]),2,0)+1</f>
        <v>16.5</v>
      </c>
      <c r="E9" s="8">
        <v>164.88793899999999</v>
      </c>
      <c r="F9" s="8">
        <v>8.6300000000000002E-2</v>
      </c>
      <c r="G9">
        <v>23.9</v>
      </c>
      <c r="H9">
        <v>985.1</v>
      </c>
    </row>
    <row r="10" spans="1:8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Row],[Orientierung]],CHOOSE({1,2},Grundabstand[Halterung]&amp;Grundabstand[Orientierung],Grundabstand[Grundabstand]),2,0)+1</f>
        <v>10.5</v>
      </c>
      <c r="E10" s="8">
        <v>204.106022</v>
      </c>
      <c r="F10" s="8">
        <v>9.2899999999999996E-2</v>
      </c>
      <c r="G10">
        <v>23.9</v>
      </c>
      <c r="H10">
        <v>985.1</v>
      </c>
    </row>
    <row r="11" spans="1:8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Row],[Orientierung]],CHOOSE({1,2},Grundabstand[Halterung]&amp;Grundabstand[Orientierung],Grundabstand[Grundabstand]),2,0)+1</f>
        <v>4.5</v>
      </c>
      <c r="E11" s="8">
        <v>278.57813499999997</v>
      </c>
      <c r="F11" s="8">
        <v>0.11</v>
      </c>
      <c r="G11">
        <v>23.9</v>
      </c>
      <c r="H11">
        <v>985.1</v>
      </c>
    </row>
    <row r="12" spans="1:8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Row],[Orientierung]],CHOOSE({1,2},Grundabstand[Halterung]&amp;Grundabstand[Orientierung],Grundabstand[Grundabstand]),2,0)+1</f>
        <v>31.5</v>
      </c>
      <c r="E12" s="8">
        <v>84.262285000000006</v>
      </c>
      <c r="F12" s="8">
        <v>7.0999999999999994E-2</v>
      </c>
      <c r="G12">
        <v>23.9</v>
      </c>
      <c r="H12">
        <v>985.1</v>
      </c>
    </row>
    <row r="13" spans="1:8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Row],[Orientierung]],CHOOSE({1,2},Grundabstand[Halterung]&amp;Grundabstand[Orientierung],Grundabstand[Grundabstand]),2,0)+1</f>
        <v>25.5</v>
      </c>
      <c r="E13" s="8">
        <v>104.491429</v>
      </c>
      <c r="F13" s="8">
        <v>5.9499999999999997E-2</v>
      </c>
      <c r="G13">
        <v>23.9</v>
      </c>
      <c r="H13">
        <v>985.1</v>
      </c>
    </row>
    <row r="14" spans="1:8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Row],[Orientierung]],CHOOSE({1,2},Grundabstand[Halterung]&amp;Grundabstand[Orientierung],Grundabstand[Grundabstand]),2,0)+1</f>
        <v>19.5</v>
      </c>
      <c r="E14" s="8">
        <v>134.37028799999999</v>
      </c>
      <c r="F14" s="8">
        <v>7.9100000000000004E-2</v>
      </c>
      <c r="G14">
        <v>23.9</v>
      </c>
      <c r="H14">
        <v>985.1</v>
      </c>
    </row>
    <row r="15" spans="1:8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Row],[Orientierung]],CHOOSE({1,2},Grundabstand[Halterung]&amp;Grundabstand[Orientierung],Grundabstand[Grundabstand]),2,0)+1</f>
        <v>13.5</v>
      </c>
      <c r="E15" s="8">
        <v>178.14541399999999</v>
      </c>
      <c r="F15" s="8">
        <v>7.9000000000000001E-2</v>
      </c>
      <c r="G15">
        <v>23.9</v>
      </c>
      <c r="H15">
        <v>985.1</v>
      </c>
    </row>
    <row r="16" spans="1:8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Row],[Orientierung]],CHOOSE({1,2},Grundabstand[Halterung]&amp;Grundabstand[Orientierung],Grundabstand[Grundabstand]),2,0)+1</f>
        <v>7.5</v>
      </c>
      <c r="E16" s="8">
        <v>238.41752199999999</v>
      </c>
      <c r="F16" s="8">
        <v>9.9500000000000005E-2</v>
      </c>
      <c r="G16">
        <v>23.9</v>
      </c>
      <c r="H16">
        <v>985.1</v>
      </c>
    </row>
    <row r="17" spans="1:8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Row],[Orientierung]],CHOOSE({1,2},Grundabstand[Halterung]&amp;Grundabstand[Orientierung],Grundabstand[Grundabstand]),2,0)+1</f>
        <v>29</v>
      </c>
      <c r="E17" s="8">
        <v>91.923933000000005</v>
      </c>
      <c r="F17" s="8">
        <v>7.2999999999999995E-2</v>
      </c>
      <c r="G17">
        <v>23.9</v>
      </c>
      <c r="H17">
        <v>985.1</v>
      </c>
    </row>
    <row r="18" spans="1:8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Row],[Orientierung]],CHOOSE({1,2},Grundabstand[Halterung]&amp;Grundabstand[Orientierung],Grundabstand[Grundabstand]),2,0)+1</f>
        <v>23</v>
      </c>
      <c r="E18" s="8">
        <v>115.71309100000001</v>
      </c>
      <c r="F18" s="8">
        <v>6.3899999999999998E-2</v>
      </c>
      <c r="G18">
        <v>23.9</v>
      </c>
      <c r="H18">
        <v>985.1</v>
      </c>
    </row>
    <row r="19" spans="1:8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Row],[Orientierung]],CHOOSE({1,2},Grundabstand[Halterung]&amp;Grundabstand[Orientierung],Grundabstand[Grundabstand]),2,0)+1</f>
        <v>17</v>
      </c>
      <c r="E19" s="8">
        <v>151.271378</v>
      </c>
      <c r="F19" s="8">
        <v>8.2600000000000007E-2</v>
      </c>
      <c r="G19">
        <v>23.9</v>
      </c>
      <c r="H19">
        <v>985.1</v>
      </c>
    </row>
    <row r="20" spans="1:8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Row],[Orientierung]],CHOOSE({1,2},Grundabstand[Halterung]&amp;Grundabstand[Orientierung],Grundabstand[Grundabstand]),2,0)+1</f>
        <v>11</v>
      </c>
      <c r="E20" s="8">
        <v>201.996633</v>
      </c>
      <c r="F20" s="8">
        <v>8.1100000000000005E-2</v>
      </c>
      <c r="G20">
        <v>23.9</v>
      </c>
      <c r="H20">
        <v>985.1</v>
      </c>
    </row>
    <row r="21" spans="1:8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Row],[Orientierung]],CHOOSE({1,2},Grundabstand[Halterung]&amp;Grundabstand[Orientierung],Grundabstand[Grundabstand]),2,0)+1</f>
        <v>5</v>
      </c>
      <c r="E21" s="8">
        <v>271.34832399999999</v>
      </c>
      <c r="F21" s="8">
        <v>0.1</v>
      </c>
      <c r="G21">
        <v>23.9</v>
      </c>
      <c r="H21">
        <v>985.1</v>
      </c>
    </row>
    <row r="22" spans="1:8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Row],[Orientierung]],CHOOSE({1,2},Grundabstand[Halterung]&amp;Grundabstand[Orientierung],Grundabstand[Grundabstand]),2,0)+1</f>
        <v>31</v>
      </c>
      <c r="E22" s="8">
        <v>85.121358000000001</v>
      </c>
      <c r="F22" s="8">
        <v>6.4399999999999999E-2</v>
      </c>
      <c r="G22">
        <v>23.9</v>
      </c>
      <c r="H22">
        <v>985.1</v>
      </c>
    </row>
    <row r="23" spans="1:8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Row],[Orientierung]],CHOOSE({1,2},Grundabstand[Halterung]&amp;Grundabstand[Orientierung],Grundabstand[Grundabstand]),2,0)+1</f>
        <v>25</v>
      </c>
      <c r="E23" s="8">
        <v>106.245576</v>
      </c>
      <c r="F23" s="8">
        <v>6.6000000000000003E-2</v>
      </c>
      <c r="G23">
        <v>23.9</v>
      </c>
      <c r="H23">
        <v>985.1</v>
      </c>
    </row>
    <row r="24" spans="1:8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Row],[Orientierung]],CHOOSE({1,2},Grundabstand[Halterung]&amp;Grundabstand[Orientierung],Grundabstand[Grundabstand]),2,0)+1</f>
        <v>19</v>
      </c>
      <c r="E24" s="8">
        <v>137.232709</v>
      </c>
      <c r="F24" s="8">
        <v>7.8200000000000006E-2</v>
      </c>
      <c r="G24">
        <v>23.9</v>
      </c>
      <c r="H24">
        <v>985.1</v>
      </c>
    </row>
    <row r="25" spans="1:8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Row],[Orientierung]],CHOOSE({1,2},Grundabstand[Halterung]&amp;Grundabstand[Orientierung],Grundabstand[Grundabstand]),2,0)+1</f>
        <v>13</v>
      </c>
      <c r="E25" s="8">
        <v>181.134343</v>
      </c>
      <c r="F25" s="8">
        <v>8.7999999999999995E-2</v>
      </c>
      <c r="G25">
        <v>23.9</v>
      </c>
      <c r="H25">
        <v>985.1</v>
      </c>
    </row>
    <row r="26" spans="1:8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Row],[Orientierung]],CHOOSE({1,2},Grundabstand[Halterung]&amp;Grundabstand[Orientierung],Grundabstand[Grundabstand]),2,0)+1</f>
        <v>7</v>
      </c>
      <c r="E26" s="8">
        <v>243.46574200000001</v>
      </c>
      <c r="F26" s="8">
        <v>0.105</v>
      </c>
      <c r="G26">
        <v>23.9</v>
      </c>
      <c r="H26">
        <v>985.1</v>
      </c>
    </row>
    <row r="27" spans="1:8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Row],[Orientierung]],CHOOSE({1,2},Grundabstand[Halterung]&amp;Grundabstand[Orientierung],Grundabstand[Grundabstand]),2,0)+1</f>
        <v>29.5</v>
      </c>
      <c r="E27" s="8">
        <v>89.640585999999999</v>
      </c>
      <c r="F27" s="8">
        <v>6.6199999999999995E-2</v>
      </c>
      <c r="G27">
        <v>23.9</v>
      </c>
      <c r="H27">
        <v>985.1</v>
      </c>
    </row>
    <row r="28" spans="1:8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Row],[Orientierung]],CHOOSE({1,2},Grundabstand[Halterung]&amp;Grundabstand[Orientierung],Grundabstand[Grundabstand]),2,0)+1</f>
        <v>23.5</v>
      </c>
      <c r="E28" s="8">
        <v>113.827084</v>
      </c>
      <c r="F28" s="8">
        <v>7.2999999999999995E-2</v>
      </c>
      <c r="G28">
        <v>23.9</v>
      </c>
      <c r="H28">
        <v>985.1</v>
      </c>
    </row>
    <row r="29" spans="1:8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Row],[Orientierung]],CHOOSE({1,2},Grundabstand[Halterung]&amp;Grundabstand[Orientierung],Grundabstand[Grundabstand]),2,0)+1</f>
        <v>17.5</v>
      </c>
      <c r="E29" s="8">
        <v>149.13717299999999</v>
      </c>
      <c r="F29" s="8">
        <v>7.5800000000000006E-2</v>
      </c>
      <c r="G29">
        <v>23.9</v>
      </c>
      <c r="H29">
        <v>985.1</v>
      </c>
    </row>
    <row r="30" spans="1:8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Row],[Orientierung]],CHOOSE({1,2},Grundabstand[Halterung]&amp;Grundabstand[Orientierung],Grundabstand[Grundabstand]),2,0)+1</f>
        <v>11.5</v>
      </c>
      <c r="E30" s="8">
        <v>196.24527599999999</v>
      </c>
      <c r="F30" s="8">
        <v>0.1</v>
      </c>
      <c r="G30">
        <v>23.9</v>
      </c>
      <c r="H30">
        <v>985.1</v>
      </c>
    </row>
    <row r="31" spans="1:8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Row],[Orientierung]],CHOOSE({1,2},Grundabstand[Halterung]&amp;Grundabstand[Orientierung],Grundabstand[Grundabstand]),2,0)+1</f>
        <v>5.5</v>
      </c>
      <c r="E31" s="8">
        <v>263.99062500000002</v>
      </c>
      <c r="F31" s="8">
        <v>0.109</v>
      </c>
      <c r="G31">
        <v>23.9</v>
      </c>
      <c r="H31">
        <v>985.1</v>
      </c>
    </row>
    <row r="32" spans="1:8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Row],[Orientierung]],CHOOSE({1,2},Grundabstand[Halterung]&amp;Grundabstand[Orientierung],Grundabstand[Grundabstand]),2,0)+1</f>
        <v>30.5</v>
      </c>
      <c r="E32" s="8">
        <v>87.255037000000002</v>
      </c>
      <c r="F32" s="8">
        <v>5.6000000000000001E-2</v>
      </c>
      <c r="G32">
        <v>23.9</v>
      </c>
      <c r="H32">
        <v>985.1</v>
      </c>
    </row>
    <row r="33" spans="1:8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Row],[Orientierung]],CHOOSE({1,2},Grundabstand[Halterung]&amp;Grundabstand[Orientierung],Grundabstand[Grundabstand]),2,0)+1</f>
        <v>24.5</v>
      </c>
      <c r="E33" s="8">
        <v>108.708113</v>
      </c>
      <c r="F33" s="8">
        <v>7.0800000000000002E-2</v>
      </c>
      <c r="G33">
        <v>23.9</v>
      </c>
      <c r="H33">
        <v>985.1</v>
      </c>
    </row>
    <row r="34" spans="1:8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Row],[Orientierung]],CHOOSE({1,2},Grundabstand[Halterung]&amp;Grundabstand[Orientierung],Grundabstand[Grundabstand]),2,0)+1</f>
        <v>18.5</v>
      </c>
      <c r="E34" s="8">
        <v>141.55525299999999</v>
      </c>
      <c r="F34" s="8">
        <v>7.7399999999999997E-2</v>
      </c>
      <c r="G34">
        <v>23.9</v>
      </c>
      <c r="H34">
        <v>985.1</v>
      </c>
    </row>
    <row r="35" spans="1:8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Row],[Orientierung]],CHOOSE({1,2},Grundabstand[Halterung]&amp;Grundabstand[Orientierung],Grundabstand[Grundabstand]),2,0)+1</f>
        <v>12.5</v>
      </c>
      <c r="E35" s="8">
        <v>188.11110500000001</v>
      </c>
      <c r="F35" s="8">
        <v>9.2499999999999999E-2</v>
      </c>
      <c r="G35">
        <v>23.9</v>
      </c>
      <c r="H35">
        <v>985.1</v>
      </c>
    </row>
    <row r="36" spans="1:8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Row],[Orientierung]],CHOOSE({1,2},Grundabstand[Halterung]&amp;Grundabstand[Orientierung],Grundabstand[Grundabstand]),2,0)+1</f>
        <v>6.5</v>
      </c>
      <c r="E36" s="8">
        <v>251.69010599999999</v>
      </c>
      <c r="F36" s="8">
        <v>9.7299999999999998E-2</v>
      </c>
      <c r="G36">
        <v>23.9</v>
      </c>
      <c r="H36">
        <v>985.1</v>
      </c>
    </row>
    <row r="37" spans="1:8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Row],[Orientierung]],CHOOSE({1,2},Grundabstand[Halterung]&amp;Grundabstand[Orientierung],Grundabstand[Grundabstand]),2,0)+1</f>
        <v>30</v>
      </c>
      <c r="E37" s="8">
        <v>87.799336999999994</v>
      </c>
      <c r="F37" s="8">
        <v>6.5699999999999995E-2</v>
      </c>
      <c r="G37">
        <v>23.9</v>
      </c>
      <c r="H37">
        <v>985.1</v>
      </c>
    </row>
    <row r="38" spans="1:8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Row],[Orientierung]],CHOOSE({1,2},Grundabstand[Halterung]&amp;Grundabstand[Orientierung],Grundabstand[Grundabstand]),2,0)+1</f>
        <v>24</v>
      </c>
      <c r="E38" s="8">
        <v>110.22848999999999</v>
      </c>
      <c r="F38" s="8">
        <v>6.5199999999999994E-2</v>
      </c>
      <c r="G38">
        <v>23.9</v>
      </c>
      <c r="H38">
        <v>985.1</v>
      </c>
    </row>
    <row r="39" spans="1:8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Row],[Orientierung]],CHOOSE({1,2},Grundabstand[Halterung]&amp;Grundabstand[Orientierung],Grundabstand[Grundabstand]),2,0)+1</f>
        <v>18</v>
      </c>
      <c r="E39" s="8">
        <v>143.80745400000001</v>
      </c>
      <c r="F39" s="8">
        <v>7.8200000000000006E-2</v>
      </c>
      <c r="G39">
        <v>23.9</v>
      </c>
      <c r="H39">
        <v>985.1</v>
      </c>
    </row>
    <row r="40" spans="1:8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Row],[Orientierung]],CHOOSE({1,2},Grundabstand[Halterung]&amp;Grundabstand[Orientierung],Grundabstand[Grundabstand]),2,0)+1</f>
        <v>12</v>
      </c>
      <c r="E40" s="8">
        <v>192.146976</v>
      </c>
      <c r="F40" s="8">
        <v>8.6599999999999996E-2</v>
      </c>
      <c r="G40">
        <v>23.9</v>
      </c>
      <c r="H40">
        <v>985.1</v>
      </c>
    </row>
    <row r="41" spans="1:8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Row],[Orientierung]],CHOOSE({1,2},Grundabstand[Halterung]&amp;Grundabstand[Orientierung],Grundabstand[Grundabstand]),2,0)+1</f>
        <v>6</v>
      </c>
      <c r="E41" s="8">
        <v>257.99749400000002</v>
      </c>
      <c r="F41" s="8">
        <v>0.11700000000000001</v>
      </c>
      <c r="G41">
        <v>23.9</v>
      </c>
      <c r="H41">
        <v>985.1</v>
      </c>
    </row>
    <row r="42" spans="1:8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Row],[Orientierung]],CHOOSE({1,2},Grundabstand[Halterung]&amp;Grundabstand[Orientierung],Grundabstand[Grundabstand]),2,0)+1</f>
        <v>27.5</v>
      </c>
      <c r="E42" s="8">
        <v>95.415171000000001</v>
      </c>
      <c r="F42" s="8">
        <v>6.5000000000000002E-2</v>
      </c>
      <c r="G42">
        <v>23.9</v>
      </c>
      <c r="H42">
        <v>985.1</v>
      </c>
    </row>
    <row r="43" spans="1:8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Row],[Orientierung]],CHOOSE({1,2},Grundabstand[Halterung]&amp;Grundabstand[Orientierung],Grundabstand[Grundabstand]),2,0)+1</f>
        <v>21.5</v>
      </c>
      <c r="E43" s="8">
        <v>122.70156299999999</v>
      </c>
      <c r="F43" s="8">
        <v>6.8599999999999994E-2</v>
      </c>
      <c r="G43">
        <v>23.9</v>
      </c>
      <c r="H43">
        <v>985.1</v>
      </c>
    </row>
    <row r="44" spans="1:8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Row],[Orientierung]],CHOOSE({1,2},Grundabstand[Halterung]&amp;Grundabstand[Orientierung],Grundabstand[Grundabstand]),2,0)+1</f>
        <v>15.5</v>
      </c>
      <c r="E44" s="8">
        <v>160.536022</v>
      </c>
      <c r="F44" s="8">
        <v>7.7200000000000005E-2</v>
      </c>
      <c r="G44">
        <v>23.9</v>
      </c>
      <c r="H44">
        <v>985.1</v>
      </c>
    </row>
    <row r="45" spans="1:8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Row],[Orientierung]],CHOOSE({1,2},Grundabstand[Halterung]&amp;Grundabstand[Orientierung],Grundabstand[Grundabstand]),2,0)+1</f>
        <v>9.5</v>
      </c>
      <c r="E45" s="8">
        <v>213.50860399999999</v>
      </c>
      <c r="F45" s="8">
        <v>9.9699999999999997E-2</v>
      </c>
      <c r="G45">
        <v>23.9</v>
      </c>
      <c r="H45">
        <v>985.1</v>
      </c>
    </row>
    <row r="46" spans="1:8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Row],[Orientierung]],CHOOSE({1,2},Grundabstand[Halterung]&amp;Grundabstand[Orientierung],Grundabstand[Grundabstand]),2,0)+1</f>
        <v>27</v>
      </c>
      <c r="E46" s="8">
        <v>97.528447999999997</v>
      </c>
      <c r="F46" s="8">
        <v>5.7299999999999997E-2</v>
      </c>
      <c r="G46">
        <v>23.9</v>
      </c>
      <c r="H46">
        <v>985.1</v>
      </c>
    </row>
    <row r="47" spans="1:8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Row],[Orientierung]],CHOOSE({1,2},Grundabstand[Halterung]&amp;Grundabstand[Orientierung],Grundabstand[Grundabstand]),2,0)+1</f>
        <v>21</v>
      </c>
      <c r="E47" s="8">
        <v>124.883504</v>
      </c>
      <c r="F47" s="8">
        <v>7.4999999999999997E-2</v>
      </c>
      <c r="G47">
        <v>23.9</v>
      </c>
      <c r="H47">
        <v>985.1</v>
      </c>
    </row>
    <row r="48" spans="1:8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Row],[Orientierung]],CHOOSE({1,2},Grundabstand[Halterung]&amp;Grundabstand[Orientierung],Grundabstand[Grundabstand]),2,0)+1</f>
        <v>15</v>
      </c>
      <c r="E48" s="8">
        <v>163.65969799999999</v>
      </c>
      <c r="F48" s="8">
        <v>7.46E-2</v>
      </c>
      <c r="G48">
        <v>23.9</v>
      </c>
      <c r="H48">
        <v>985.1</v>
      </c>
    </row>
    <row r="49" spans="1:8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Row],[Orientierung]],CHOOSE({1,2},Grundabstand[Halterung]&amp;Grundabstand[Orientierung],Grundabstand[Grundabstand]),2,0)+1</f>
        <v>9</v>
      </c>
      <c r="E49" s="8">
        <v>219.40400199999999</v>
      </c>
      <c r="F49" s="8">
        <v>9.8500000000000004E-2</v>
      </c>
      <c r="G49">
        <v>23.9</v>
      </c>
      <c r="H49">
        <v>985.1</v>
      </c>
    </row>
    <row r="50" spans="1:8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Row],[Orientierung]],CHOOSE({1,2},Grundabstand[Halterung]&amp;Grundabstand[Orientierung],Grundabstand[Grundabstand]),2,0)+1</f>
        <v>28</v>
      </c>
      <c r="E50" s="8">
        <v>98.562506999999997</v>
      </c>
      <c r="F50" s="8">
        <v>6.4899999999999999E-2</v>
      </c>
      <c r="G50">
        <v>23.9</v>
      </c>
      <c r="H50">
        <v>985.1</v>
      </c>
    </row>
    <row r="51" spans="1:8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Row],[Orientierung]],CHOOSE({1,2},Grundabstand[Halterung]&amp;Grundabstand[Orientierung],Grundabstand[Grundabstand]),2,0)+1</f>
        <v>22</v>
      </c>
      <c r="E51" s="8">
        <v>117.39572099999999</v>
      </c>
      <c r="F51" s="8">
        <v>7.2400000000000006E-2</v>
      </c>
      <c r="G51">
        <v>23.9</v>
      </c>
      <c r="H51">
        <v>985.1</v>
      </c>
    </row>
    <row r="52" spans="1:8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Row],[Orientierung]],CHOOSE({1,2},Grundabstand[Halterung]&amp;Grundabstand[Orientierung],Grundabstand[Grundabstand]),2,0)+1</f>
        <v>16</v>
      </c>
      <c r="E52" s="8">
        <v>155.84180799999999</v>
      </c>
      <c r="F52" s="8">
        <v>9.2799999999999994E-2</v>
      </c>
      <c r="G52">
        <v>23.9</v>
      </c>
      <c r="H52">
        <v>985.1</v>
      </c>
    </row>
    <row r="53" spans="1:8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Row],[Orientierung]],CHOOSE({1,2},Grundabstand[Halterung]&amp;Grundabstand[Orientierung],Grundabstand[Grundabstand]),2,0)+1</f>
        <v>10</v>
      </c>
      <c r="E53" s="8">
        <v>208.24549500000001</v>
      </c>
      <c r="F53" s="8">
        <v>0.10299999999999999</v>
      </c>
      <c r="G53">
        <v>23.9</v>
      </c>
      <c r="H53">
        <v>985.1</v>
      </c>
    </row>
    <row r="54" spans="1:8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Row],[Orientierung]],CHOOSE({1,2},Grundabstand[Halterung]&amp;Grundabstand[Orientierung],Grundabstand[Grundabstand]),2,0)+1</f>
        <v>26.5</v>
      </c>
      <c r="E54" s="8">
        <v>102.93598799999999</v>
      </c>
      <c r="F54" s="8">
        <v>6.8500000000000005E-2</v>
      </c>
      <c r="G54">
        <v>23.9</v>
      </c>
      <c r="H54">
        <v>985.1</v>
      </c>
    </row>
    <row r="55" spans="1:8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Row],[Orientierung]],CHOOSE({1,2},Grundabstand[Halterung]&amp;Grundabstand[Orientierung],Grundabstand[Grundabstand]),2,0)+1</f>
        <v>20.5</v>
      </c>
      <c r="E55" s="8">
        <v>134.06621899999999</v>
      </c>
      <c r="F55" s="8">
        <v>8.3900000000000002E-2</v>
      </c>
      <c r="G55">
        <v>23.9</v>
      </c>
      <c r="H55">
        <v>985.1</v>
      </c>
    </row>
    <row r="56" spans="1:8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Row],[Orientierung]],CHOOSE({1,2},Grundabstand[Halterung]&amp;Grundabstand[Orientierung],Grundabstand[Grundabstand]),2,0)+1</f>
        <v>14.5</v>
      </c>
      <c r="E56" s="8">
        <v>167.573331</v>
      </c>
      <c r="F56" s="8">
        <v>7.7600000000000002E-2</v>
      </c>
      <c r="G56">
        <v>23.9</v>
      </c>
      <c r="H56">
        <v>985.1</v>
      </c>
    </row>
    <row r="57" spans="1:8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Row],[Orientierung]],CHOOSE({1,2},Grundabstand[Halterung]&amp;Grundabstand[Orientierung],Grundabstand[Grundabstand]),2,0)+1</f>
        <v>8.5</v>
      </c>
      <c r="E57" s="8">
        <v>225.417284</v>
      </c>
      <c r="F57" s="8">
        <v>0.1</v>
      </c>
      <c r="G57">
        <v>23.9</v>
      </c>
      <c r="H57">
        <v>985.1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Messwerte_Diagramm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2022-05-31T08:44:41Z</dcterms:modified>
</cp:coreProperties>
</file>